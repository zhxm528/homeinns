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anzhou\Downloads\"/>
    </mc:Choice>
  </mc:AlternateContent>
  <bookViews>
    <workbookView xWindow="0" yWindow="0" windowWidth="27510" windowHeight="13020"/>
  </bookViews>
  <sheets>
    <sheet name="1. 预算导入模板&amp;填写要求" sheetId="1" r:id="rId1"/>
  </sheets>
  <definedNames>
    <definedName name="_xlnm._FilterDatabase" localSheetId="0" hidden="1">'1. 预算导入模板&amp;填写要求'!$A$1:$AE$122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1" i="1" l="1"/>
  <c r="AH121" i="1"/>
  <c r="AG121" i="1"/>
  <c r="AF121" i="1"/>
  <c r="AD121" i="1"/>
  <c r="AI120" i="1"/>
  <c r="AH120" i="1"/>
  <c r="AG120" i="1"/>
  <c r="AF120" i="1"/>
  <c r="AD120" i="1"/>
  <c r="AI119" i="1"/>
  <c r="AH119" i="1"/>
  <c r="AG119" i="1"/>
  <c r="AF119" i="1"/>
  <c r="AD119" i="1"/>
  <c r="AI118" i="1"/>
  <c r="AH118" i="1"/>
  <c r="AG118" i="1"/>
  <c r="AF118" i="1"/>
  <c r="AD118" i="1"/>
  <c r="AI117" i="1"/>
  <c r="AH117" i="1"/>
  <c r="AG117" i="1"/>
  <c r="AF117" i="1"/>
  <c r="AD117" i="1"/>
  <c r="AI116" i="1"/>
  <c r="AH116" i="1"/>
  <c r="AG116" i="1"/>
  <c r="AF116" i="1"/>
  <c r="AD116" i="1"/>
  <c r="AI115" i="1"/>
  <c r="AH115" i="1"/>
  <c r="AG115" i="1"/>
  <c r="AF115" i="1"/>
  <c r="AD115" i="1"/>
  <c r="AI114" i="1"/>
  <c r="AH114" i="1"/>
  <c r="AG114" i="1"/>
  <c r="AF114" i="1"/>
  <c r="AD114" i="1"/>
  <c r="AI111" i="1"/>
  <c r="AH111" i="1"/>
  <c r="AG111" i="1"/>
  <c r="AF111" i="1"/>
  <c r="AD111" i="1"/>
  <c r="AI110" i="1"/>
  <c r="AH110" i="1"/>
  <c r="AH108" i="1" s="1"/>
  <c r="AG110" i="1"/>
  <c r="AF110" i="1"/>
  <c r="AD110" i="1"/>
  <c r="AI109" i="1"/>
  <c r="AH109" i="1"/>
  <c r="AG109" i="1"/>
  <c r="AF109" i="1"/>
  <c r="AF108" i="1" s="1"/>
  <c r="AD109" i="1"/>
  <c r="AI108" i="1"/>
  <c r="AB108" i="1"/>
  <c r="Z108" i="1"/>
  <c r="X108" i="1"/>
  <c r="V108" i="1"/>
  <c r="T108" i="1"/>
  <c r="R108" i="1"/>
  <c r="P108" i="1"/>
  <c r="N108" i="1"/>
  <c r="L108" i="1"/>
  <c r="J108" i="1"/>
  <c r="H108" i="1"/>
  <c r="F108" i="1"/>
  <c r="AI107" i="1"/>
  <c r="AH107" i="1"/>
  <c r="AG107" i="1"/>
  <c r="AF107" i="1"/>
  <c r="AD107" i="1"/>
  <c r="AI106" i="1"/>
  <c r="AH106" i="1"/>
  <c r="AG106" i="1"/>
  <c r="AF106" i="1"/>
  <c r="AD106" i="1"/>
  <c r="AI105" i="1"/>
  <c r="AH105" i="1"/>
  <c r="AG105" i="1"/>
  <c r="AF105" i="1"/>
  <c r="AD105" i="1"/>
  <c r="AI104" i="1"/>
  <c r="AH104" i="1"/>
  <c r="AG104" i="1"/>
  <c r="AF104" i="1"/>
  <c r="AD104" i="1"/>
  <c r="AI103" i="1"/>
  <c r="AH103" i="1"/>
  <c r="AG103" i="1"/>
  <c r="AF103" i="1"/>
  <c r="AD103" i="1"/>
  <c r="AI102" i="1"/>
  <c r="AH102" i="1"/>
  <c r="AG102" i="1"/>
  <c r="AF102" i="1"/>
  <c r="AD102" i="1"/>
  <c r="AI101" i="1"/>
  <c r="AH101" i="1"/>
  <c r="AG101" i="1"/>
  <c r="AF101" i="1"/>
  <c r="AD101" i="1"/>
  <c r="AI100" i="1"/>
  <c r="AH100" i="1"/>
  <c r="AG100" i="1"/>
  <c r="AF100" i="1"/>
  <c r="AD100" i="1"/>
  <c r="AI99" i="1"/>
  <c r="AH99" i="1"/>
  <c r="AG99" i="1"/>
  <c r="AF99" i="1"/>
  <c r="AD99" i="1"/>
  <c r="AI98" i="1"/>
  <c r="AH98" i="1"/>
  <c r="AG98" i="1"/>
  <c r="AF98" i="1"/>
  <c r="AD98" i="1"/>
  <c r="AI97" i="1"/>
  <c r="AH97" i="1"/>
  <c r="AG97" i="1"/>
  <c r="AF97" i="1"/>
  <c r="AD97" i="1"/>
  <c r="AI96" i="1"/>
  <c r="AH96" i="1"/>
  <c r="AG96" i="1"/>
  <c r="AF96" i="1"/>
  <c r="AD96" i="1"/>
  <c r="AI95" i="1"/>
  <c r="AH95" i="1"/>
  <c r="AG95" i="1"/>
  <c r="AF95" i="1"/>
  <c r="AD95" i="1"/>
  <c r="AI94" i="1"/>
  <c r="AH94" i="1"/>
  <c r="AG94" i="1"/>
  <c r="AF94" i="1"/>
  <c r="AD94" i="1"/>
  <c r="AI93" i="1"/>
  <c r="AH93" i="1"/>
  <c r="AG93" i="1"/>
  <c r="AF93" i="1"/>
  <c r="AD93" i="1"/>
  <c r="AI92" i="1"/>
  <c r="AH92" i="1"/>
  <c r="AG92" i="1"/>
  <c r="AF92" i="1"/>
  <c r="AD92" i="1"/>
  <c r="AI91" i="1"/>
  <c r="AH91" i="1"/>
  <c r="AG91" i="1"/>
  <c r="AF91" i="1"/>
  <c r="AD91" i="1"/>
  <c r="AI90" i="1"/>
  <c r="AH90" i="1"/>
  <c r="AG90" i="1"/>
  <c r="AF90" i="1"/>
  <c r="AD90" i="1"/>
  <c r="AI89" i="1"/>
  <c r="AH89" i="1"/>
  <c r="AG89" i="1"/>
  <c r="AF89" i="1"/>
  <c r="AD89" i="1"/>
  <c r="AI88" i="1"/>
  <c r="AH88" i="1"/>
  <c r="AG88" i="1"/>
  <c r="AF88" i="1"/>
  <c r="AD88" i="1"/>
  <c r="AI87" i="1"/>
  <c r="AH87" i="1"/>
  <c r="AG87" i="1"/>
  <c r="AF87" i="1"/>
  <c r="AD87" i="1"/>
  <c r="AI86" i="1"/>
  <c r="AH86" i="1"/>
  <c r="AH85" i="1" s="1"/>
  <c r="AG86" i="1"/>
  <c r="AF86" i="1"/>
  <c r="AD86" i="1"/>
  <c r="AB85" i="1"/>
  <c r="Z85" i="1"/>
  <c r="X85" i="1"/>
  <c r="V85" i="1"/>
  <c r="T85" i="1"/>
  <c r="R85" i="1"/>
  <c r="P85" i="1"/>
  <c r="N85" i="1"/>
  <c r="L85" i="1"/>
  <c r="J85" i="1"/>
  <c r="H85" i="1"/>
  <c r="F85" i="1"/>
  <c r="AI84" i="1"/>
  <c r="AI82" i="1" s="1"/>
  <c r="AH84" i="1"/>
  <c r="AH82" i="1" s="1"/>
  <c r="AG84" i="1"/>
  <c r="AF84" i="1"/>
  <c r="AD84" i="1"/>
  <c r="AI83" i="1"/>
  <c r="AH83" i="1"/>
  <c r="AG83" i="1"/>
  <c r="AF83" i="1"/>
  <c r="AD83" i="1"/>
  <c r="AD82" i="1" s="1"/>
  <c r="AB82" i="1"/>
  <c r="Z82" i="1"/>
  <c r="X82" i="1"/>
  <c r="V82" i="1"/>
  <c r="T82" i="1"/>
  <c r="R82" i="1"/>
  <c r="P82" i="1"/>
  <c r="N82" i="1"/>
  <c r="L82" i="1"/>
  <c r="J82" i="1"/>
  <c r="H82" i="1"/>
  <c r="F82" i="1"/>
  <c r="AI81" i="1"/>
  <c r="AH81" i="1"/>
  <c r="AG81" i="1"/>
  <c r="AF81" i="1"/>
  <c r="AD81" i="1"/>
  <c r="AI80" i="1"/>
  <c r="AH80" i="1"/>
  <c r="AG80" i="1"/>
  <c r="AF80" i="1"/>
  <c r="AD80" i="1"/>
  <c r="AI79" i="1"/>
  <c r="AH79" i="1"/>
  <c r="AG79" i="1"/>
  <c r="AF79" i="1"/>
  <c r="AD79" i="1"/>
  <c r="AI78" i="1"/>
  <c r="AH78" i="1"/>
  <c r="AG78" i="1"/>
  <c r="AF78" i="1"/>
  <c r="AD78" i="1"/>
  <c r="AI77" i="1"/>
  <c r="AH77" i="1"/>
  <c r="AG77" i="1"/>
  <c r="AF77" i="1"/>
  <c r="AD77" i="1"/>
  <c r="AI76" i="1"/>
  <c r="AH76" i="1"/>
  <c r="AG76" i="1"/>
  <c r="AF76" i="1"/>
  <c r="AD76" i="1"/>
  <c r="AI75" i="1"/>
  <c r="AH75" i="1"/>
  <c r="AG75" i="1"/>
  <c r="AF75" i="1"/>
  <c r="AD75" i="1"/>
  <c r="AI74" i="1"/>
  <c r="AH74" i="1"/>
  <c r="AG74" i="1"/>
  <c r="AF74" i="1"/>
  <c r="AD74" i="1"/>
  <c r="AI73" i="1"/>
  <c r="AH73" i="1"/>
  <c r="AG73" i="1"/>
  <c r="AF73" i="1"/>
  <c r="AD73" i="1"/>
  <c r="AI72" i="1"/>
  <c r="AH72" i="1"/>
  <c r="AG72" i="1"/>
  <c r="AF72" i="1"/>
  <c r="AD72" i="1"/>
  <c r="AI71" i="1"/>
  <c r="AH71" i="1"/>
  <c r="AG71" i="1"/>
  <c r="AF71" i="1"/>
  <c r="AD71" i="1"/>
  <c r="AI70" i="1"/>
  <c r="AH70" i="1"/>
  <c r="AG70" i="1"/>
  <c r="AF70" i="1"/>
  <c r="AD70" i="1"/>
  <c r="AB69" i="1"/>
  <c r="Z69" i="1"/>
  <c r="X69" i="1"/>
  <c r="V69" i="1"/>
  <c r="T69" i="1"/>
  <c r="T24" i="1" s="1"/>
  <c r="R69" i="1"/>
  <c r="P69" i="1"/>
  <c r="N69" i="1"/>
  <c r="L69" i="1"/>
  <c r="J69" i="1"/>
  <c r="H69" i="1"/>
  <c r="F69" i="1"/>
  <c r="AI68" i="1"/>
  <c r="AH68" i="1"/>
  <c r="AG68" i="1"/>
  <c r="AF68" i="1"/>
  <c r="AD68" i="1"/>
  <c r="AI67" i="1"/>
  <c r="AH67" i="1"/>
  <c r="AG67" i="1"/>
  <c r="AF67" i="1"/>
  <c r="AF63" i="1" s="1"/>
  <c r="AD67" i="1"/>
  <c r="AI66" i="1"/>
  <c r="AH66" i="1"/>
  <c r="AG66" i="1"/>
  <c r="AF66" i="1"/>
  <c r="AD66" i="1"/>
  <c r="AI65" i="1"/>
  <c r="AI63" i="1" s="1"/>
  <c r="AH65" i="1"/>
  <c r="AH63" i="1" s="1"/>
  <c r="AG65" i="1"/>
  <c r="AF65" i="1"/>
  <c r="AD65" i="1"/>
  <c r="AI64" i="1"/>
  <c r="AH64" i="1"/>
  <c r="AG64" i="1"/>
  <c r="AF64" i="1"/>
  <c r="AD64" i="1"/>
  <c r="AD63" i="1" s="1"/>
  <c r="AB63" i="1"/>
  <c r="Z63" i="1"/>
  <c r="X63" i="1"/>
  <c r="V63" i="1"/>
  <c r="T63" i="1"/>
  <c r="R63" i="1"/>
  <c r="P63" i="1"/>
  <c r="N63" i="1"/>
  <c r="L63" i="1"/>
  <c r="J63" i="1"/>
  <c r="H63" i="1"/>
  <c r="F63" i="1"/>
  <c r="AI62" i="1"/>
  <c r="AH62" i="1"/>
  <c r="AH58" i="1" s="1"/>
  <c r="AG62" i="1"/>
  <c r="AF62" i="1"/>
  <c r="AD62" i="1"/>
  <c r="AI61" i="1"/>
  <c r="AH61" i="1"/>
  <c r="AG61" i="1"/>
  <c r="AF61" i="1"/>
  <c r="AD61" i="1"/>
  <c r="AI60" i="1"/>
  <c r="AI58" i="1" s="1"/>
  <c r="AH60" i="1"/>
  <c r="AG60" i="1"/>
  <c r="AF60" i="1"/>
  <c r="AD60" i="1"/>
  <c r="AI59" i="1"/>
  <c r="AH59" i="1"/>
  <c r="AG59" i="1"/>
  <c r="AF59" i="1"/>
  <c r="AF58" i="1" s="1"/>
  <c r="AD59" i="1"/>
  <c r="AD58" i="1" s="1"/>
  <c r="AB58" i="1"/>
  <c r="Z58" i="1"/>
  <c r="X58" i="1"/>
  <c r="V58" i="1"/>
  <c r="T58" i="1"/>
  <c r="R58" i="1"/>
  <c r="P58" i="1"/>
  <c r="N58" i="1"/>
  <c r="L58" i="1"/>
  <c r="J58" i="1"/>
  <c r="H58" i="1"/>
  <c r="F58" i="1"/>
  <c r="AI57" i="1"/>
  <c r="AH57" i="1"/>
  <c r="AG57" i="1"/>
  <c r="AF57" i="1"/>
  <c r="AD57" i="1"/>
  <c r="AI56" i="1"/>
  <c r="AH56" i="1"/>
  <c r="AG56" i="1"/>
  <c r="AF56" i="1"/>
  <c r="AD56" i="1"/>
  <c r="AI55" i="1"/>
  <c r="AH55" i="1"/>
  <c r="AG55" i="1"/>
  <c r="AF55" i="1"/>
  <c r="AD55" i="1"/>
  <c r="AI54" i="1"/>
  <c r="AH54" i="1"/>
  <c r="AG54" i="1"/>
  <c r="AF54" i="1"/>
  <c r="AD54" i="1"/>
  <c r="AI53" i="1"/>
  <c r="AH53" i="1"/>
  <c r="AG53" i="1"/>
  <c r="AF53" i="1"/>
  <c r="AD53" i="1"/>
  <c r="AI52" i="1"/>
  <c r="AI50" i="1" s="1"/>
  <c r="AH52" i="1"/>
  <c r="AG52" i="1"/>
  <c r="AF52" i="1"/>
  <c r="AD52" i="1"/>
  <c r="AI51" i="1"/>
  <c r="AH51" i="1"/>
  <c r="AG51" i="1"/>
  <c r="AF51" i="1"/>
  <c r="AF50" i="1" s="1"/>
  <c r="AD51" i="1"/>
  <c r="AB50" i="1"/>
  <c r="Z50" i="1"/>
  <c r="X50" i="1"/>
  <c r="V50" i="1"/>
  <c r="T50" i="1"/>
  <c r="R50" i="1"/>
  <c r="P50" i="1"/>
  <c r="N50" i="1"/>
  <c r="L50" i="1"/>
  <c r="J50" i="1"/>
  <c r="H50" i="1"/>
  <c r="F50" i="1"/>
  <c r="AI49" i="1"/>
  <c r="AH49" i="1"/>
  <c r="AG49" i="1"/>
  <c r="AF49" i="1"/>
  <c r="AD49" i="1"/>
  <c r="AI48" i="1"/>
  <c r="AH48" i="1"/>
  <c r="AG48" i="1"/>
  <c r="AF48" i="1"/>
  <c r="AD48" i="1"/>
  <c r="AI47" i="1"/>
  <c r="AH47" i="1"/>
  <c r="AG47" i="1"/>
  <c r="AF47" i="1"/>
  <c r="AD47" i="1"/>
  <c r="AI46" i="1"/>
  <c r="AH46" i="1"/>
  <c r="AG46" i="1"/>
  <c r="AF46" i="1"/>
  <c r="AD46" i="1"/>
  <c r="AI45" i="1"/>
  <c r="AH45" i="1"/>
  <c r="AG45" i="1"/>
  <c r="AF45" i="1"/>
  <c r="AD45" i="1"/>
  <c r="AI44" i="1"/>
  <c r="AH44" i="1"/>
  <c r="AG44" i="1"/>
  <c r="AF44" i="1"/>
  <c r="AD44" i="1"/>
  <c r="AI43" i="1"/>
  <c r="AH43" i="1"/>
  <c r="AG43" i="1"/>
  <c r="AF43" i="1"/>
  <c r="AD43" i="1"/>
  <c r="AI42" i="1"/>
  <c r="AH42" i="1"/>
  <c r="AG42" i="1"/>
  <c r="AF42" i="1"/>
  <c r="AD42" i="1"/>
  <c r="AI41" i="1"/>
  <c r="AH41" i="1"/>
  <c r="AG41" i="1"/>
  <c r="AF41" i="1"/>
  <c r="AD41" i="1"/>
  <c r="AI40" i="1"/>
  <c r="AH40" i="1"/>
  <c r="AG40" i="1"/>
  <c r="AF40" i="1"/>
  <c r="AD40" i="1"/>
  <c r="AI39" i="1"/>
  <c r="AH39" i="1"/>
  <c r="AG39" i="1"/>
  <c r="AF39" i="1"/>
  <c r="AD39" i="1"/>
  <c r="AI38" i="1"/>
  <c r="AH38" i="1"/>
  <c r="AG38" i="1"/>
  <c r="AF38" i="1"/>
  <c r="AD38" i="1"/>
  <c r="AI37" i="1"/>
  <c r="AH37" i="1"/>
  <c r="AG37" i="1"/>
  <c r="AF37" i="1"/>
  <c r="AD37" i="1"/>
  <c r="AI36" i="1"/>
  <c r="AH36" i="1"/>
  <c r="AH35" i="1" s="1"/>
  <c r="AG36" i="1"/>
  <c r="AF36" i="1"/>
  <c r="AD36" i="1"/>
  <c r="AB35" i="1"/>
  <c r="Z35" i="1"/>
  <c r="X35" i="1"/>
  <c r="V35" i="1"/>
  <c r="T35" i="1"/>
  <c r="R35" i="1"/>
  <c r="P35" i="1"/>
  <c r="N35" i="1"/>
  <c r="L35" i="1"/>
  <c r="J35" i="1"/>
  <c r="H35" i="1"/>
  <c r="F35" i="1"/>
  <c r="AI34" i="1"/>
  <c r="AH34" i="1"/>
  <c r="AG34" i="1"/>
  <c r="AF34" i="1"/>
  <c r="AD34" i="1"/>
  <c r="AI33" i="1"/>
  <c r="AH33" i="1"/>
  <c r="AG33" i="1"/>
  <c r="AF33" i="1"/>
  <c r="AD33" i="1"/>
  <c r="AI32" i="1"/>
  <c r="AH32" i="1"/>
  <c r="AG32" i="1"/>
  <c r="AF32" i="1"/>
  <c r="AD32" i="1"/>
  <c r="AI31" i="1"/>
  <c r="AH31" i="1"/>
  <c r="AG31" i="1"/>
  <c r="AF31" i="1"/>
  <c r="AD31" i="1"/>
  <c r="AI30" i="1"/>
  <c r="AH30" i="1"/>
  <c r="AG30" i="1"/>
  <c r="AF30" i="1"/>
  <c r="AD30" i="1"/>
  <c r="AI29" i="1"/>
  <c r="AH29" i="1"/>
  <c r="AG29" i="1"/>
  <c r="AF29" i="1"/>
  <c r="AD29" i="1"/>
  <c r="AC29" i="1"/>
  <c r="AA29" i="1"/>
  <c r="Y29" i="1"/>
  <c r="W29" i="1"/>
  <c r="U29" i="1"/>
  <c r="S29" i="1"/>
  <c r="Q29" i="1"/>
  <c r="O29" i="1"/>
  <c r="M29" i="1"/>
  <c r="K29" i="1"/>
  <c r="I29" i="1"/>
  <c r="G29" i="1"/>
  <c r="AI28" i="1"/>
  <c r="AH28" i="1"/>
  <c r="AG28" i="1"/>
  <c r="AF28" i="1"/>
  <c r="AD28" i="1"/>
  <c r="AI27" i="1"/>
  <c r="AH27" i="1"/>
  <c r="AG27" i="1"/>
  <c r="AF27" i="1"/>
  <c r="AD27" i="1"/>
  <c r="AB26" i="1"/>
  <c r="Z26" i="1"/>
  <c r="Z25" i="1" s="1"/>
  <c r="Z24" i="1" s="1"/>
  <c r="X26" i="1"/>
  <c r="AI26" i="1" s="1"/>
  <c r="AI25" i="1" s="1"/>
  <c r="V26" i="1"/>
  <c r="V25" i="1" s="1"/>
  <c r="T26" i="1"/>
  <c r="U26" i="1" s="1"/>
  <c r="R26" i="1"/>
  <c r="P26" i="1"/>
  <c r="N26" i="1"/>
  <c r="N25" i="1" s="1"/>
  <c r="L26" i="1"/>
  <c r="AG26" i="1" s="1"/>
  <c r="AG25" i="1" s="1"/>
  <c r="J26" i="1"/>
  <c r="J25" i="1" s="1"/>
  <c r="J24" i="1" s="1"/>
  <c r="H26" i="1"/>
  <c r="F26" i="1"/>
  <c r="AB25" i="1"/>
  <c r="AB24" i="1" s="1"/>
  <c r="T25" i="1"/>
  <c r="R25" i="1"/>
  <c r="R24" i="1" s="1"/>
  <c r="P25" i="1"/>
  <c r="P24" i="1" s="1"/>
  <c r="H25" i="1"/>
  <c r="AI23" i="1"/>
  <c r="AH23" i="1"/>
  <c r="AG23" i="1"/>
  <c r="AF23" i="1"/>
  <c r="AD23" i="1"/>
  <c r="AI22" i="1"/>
  <c r="AH22" i="1"/>
  <c r="AG22" i="1"/>
  <c r="AF22" i="1"/>
  <c r="AD22" i="1"/>
  <c r="AI21" i="1"/>
  <c r="AH21" i="1"/>
  <c r="AG21" i="1"/>
  <c r="AF21" i="1"/>
  <c r="AD21" i="1"/>
  <c r="AI20" i="1"/>
  <c r="AH20" i="1"/>
  <c r="AG20" i="1"/>
  <c r="AF20" i="1"/>
  <c r="AD20" i="1"/>
  <c r="AI19" i="1"/>
  <c r="AH19" i="1"/>
  <c r="AG19" i="1"/>
  <c r="AF19" i="1"/>
  <c r="AD19" i="1"/>
  <c r="AI18" i="1"/>
  <c r="AH18" i="1"/>
  <c r="AG18" i="1"/>
  <c r="AF18" i="1"/>
  <c r="AD18" i="1"/>
  <c r="AI17" i="1"/>
  <c r="AH17" i="1"/>
  <c r="AG17" i="1"/>
  <c r="AF17" i="1"/>
  <c r="AD17" i="1"/>
  <c r="AI16" i="1"/>
  <c r="AH16" i="1"/>
  <c r="AG16" i="1"/>
  <c r="AF16" i="1"/>
  <c r="AD16" i="1"/>
  <c r="AI15" i="1"/>
  <c r="AH15" i="1"/>
  <c r="AG15" i="1"/>
  <c r="AF15" i="1"/>
  <c r="AD15" i="1"/>
  <c r="AI14" i="1"/>
  <c r="AH14" i="1"/>
  <c r="AG14" i="1"/>
  <c r="AF14" i="1"/>
  <c r="AD14" i="1"/>
  <c r="AB13" i="1"/>
  <c r="AC26" i="1" s="1"/>
  <c r="Z13" i="1"/>
  <c r="X13" i="1"/>
  <c r="V13" i="1"/>
  <c r="T13" i="1"/>
  <c r="R13" i="1"/>
  <c r="S26" i="1" s="1"/>
  <c r="P13" i="1"/>
  <c r="Q26" i="1" s="1"/>
  <c r="N13" i="1"/>
  <c r="AG13" i="1" s="1"/>
  <c r="AG12" i="1" s="1"/>
  <c r="AG11" i="1" s="1"/>
  <c r="L13" i="1"/>
  <c r="J13" i="1"/>
  <c r="H13" i="1"/>
  <c r="I26" i="1" s="1"/>
  <c r="F13" i="1"/>
  <c r="AB12" i="1"/>
  <c r="X12" i="1"/>
  <c r="X11" i="1" s="1"/>
  <c r="V12" i="1"/>
  <c r="T12" i="1"/>
  <c r="L12" i="1"/>
  <c r="F12" i="1"/>
  <c r="AB11" i="1"/>
  <c r="V11" i="1"/>
  <c r="T11" i="1"/>
  <c r="L11" i="1"/>
  <c r="F11" i="1"/>
  <c r="P10" i="1"/>
  <c r="L10" i="1"/>
  <c r="AG10" i="1" s="1"/>
  <c r="R8" i="1"/>
  <c r="N8" i="1"/>
  <c r="AB7" i="1"/>
  <c r="AB8" i="1" s="1"/>
  <c r="Z7" i="1"/>
  <c r="Z8" i="1" s="1"/>
  <c r="X7" i="1"/>
  <c r="X8" i="1" s="1"/>
  <c r="V7" i="1"/>
  <c r="V8" i="1" s="1"/>
  <c r="T7" i="1"/>
  <c r="AH7" i="1" s="1"/>
  <c r="R7" i="1"/>
  <c r="P7" i="1"/>
  <c r="P8" i="1" s="1"/>
  <c r="N7" i="1"/>
  <c r="L7" i="1"/>
  <c r="AG7" i="1" s="1"/>
  <c r="J7" i="1"/>
  <c r="J8" i="1" s="1"/>
  <c r="H7" i="1"/>
  <c r="H8" i="1" s="1"/>
  <c r="F7" i="1"/>
  <c r="AB6" i="1"/>
  <c r="AB10" i="1" s="1"/>
  <c r="AB9" i="1" s="1"/>
  <c r="Z6" i="1"/>
  <c r="Z10" i="1" s="1"/>
  <c r="X6" i="1"/>
  <c r="X10" i="1" s="1"/>
  <c r="V6" i="1"/>
  <c r="V10" i="1" s="1"/>
  <c r="T6" i="1"/>
  <c r="T10" i="1" s="1"/>
  <c r="R6" i="1"/>
  <c r="R10" i="1" s="1"/>
  <c r="P6" i="1"/>
  <c r="N6" i="1"/>
  <c r="N10" i="1" s="1"/>
  <c r="L6" i="1"/>
  <c r="J6" i="1"/>
  <c r="J10" i="1" s="1"/>
  <c r="H6" i="1"/>
  <c r="H10" i="1" s="1"/>
  <c r="F6" i="1"/>
  <c r="F10" i="1" s="1"/>
  <c r="AD5" i="1"/>
  <c r="AD4" i="1"/>
  <c r="AD6" i="1" s="1"/>
  <c r="AI3" i="1"/>
  <c r="AH3" i="1"/>
  <c r="AG3" i="1"/>
  <c r="AF3" i="1"/>
  <c r="AD3" i="1"/>
  <c r="AI2" i="1"/>
  <c r="AH2" i="1"/>
  <c r="AG2" i="1"/>
  <c r="AF2" i="1"/>
  <c r="AD2" i="1"/>
  <c r="M26" i="1" l="1"/>
  <c r="AG50" i="1"/>
  <c r="AD50" i="1"/>
  <c r="AG58" i="1"/>
  <c r="AI7" i="1"/>
  <c r="X25" i="1"/>
  <c r="AE29" i="1"/>
  <c r="AD35" i="1"/>
  <c r="AH50" i="1"/>
  <c r="H12" i="1"/>
  <c r="H11" i="1" s="1"/>
  <c r="H9" i="1" s="1"/>
  <c r="I12" i="1" s="1"/>
  <c r="AF13" i="1"/>
  <c r="AF12" i="1" s="1"/>
  <c r="AF11" i="1" s="1"/>
  <c r="AF35" i="1"/>
  <c r="AI35" i="1"/>
  <c r="AD85" i="1"/>
  <c r="AG108" i="1"/>
  <c r="AD108" i="1"/>
  <c r="Y26" i="1"/>
  <c r="AH26" i="1"/>
  <c r="AH25" i="1" s="1"/>
  <c r="AG35" i="1"/>
  <c r="AF85" i="1"/>
  <c r="AI85" i="1"/>
  <c r="N12" i="1"/>
  <c r="N11" i="1" s="1"/>
  <c r="K26" i="1"/>
  <c r="AA26" i="1"/>
  <c r="AD26" i="1"/>
  <c r="AD25" i="1" s="1"/>
  <c r="AD24" i="1" s="1"/>
  <c r="AD69" i="1"/>
  <c r="AH69" i="1"/>
  <c r="AF82" i="1"/>
  <c r="AG85" i="1"/>
  <c r="AF7" i="1"/>
  <c r="AH8" i="1"/>
  <c r="AH5" i="1" s="1"/>
  <c r="T8" i="1"/>
  <c r="P12" i="1"/>
  <c r="P11" i="1" s="1"/>
  <c r="L25" i="1"/>
  <c r="L24" i="1" s="1"/>
  <c r="AF69" i="1"/>
  <c r="AI69" i="1"/>
  <c r="AG69" i="1"/>
  <c r="AG82" i="1"/>
  <c r="AI24" i="1"/>
  <c r="AI8" i="1"/>
  <c r="AI5" i="1" s="1"/>
  <c r="AG63" i="1"/>
  <c r="AG24" i="1" s="1"/>
  <c r="AH10" i="1"/>
  <c r="AG9" i="1"/>
  <c r="W11" i="1"/>
  <c r="AF10" i="1"/>
  <c r="AD10" i="1"/>
  <c r="F9" i="1"/>
  <c r="G58" i="1" s="1"/>
  <c r="V9" i="1"/>
  <c r="W10" i="1" s="1"/>
  <c r="AC12" i="1"/>
  <c r="U13" i="1"/>
  <c r="Y25" i="1"/>
  <c r="N24" i="1"/>
  <c r="X9" i="1"/>
  <c r="Y50" i="1" s="1"/>
  <c r="AI10" i="1"/>
  <c r="AC108" i="1"/>
  <c r="AC50" i="1"/>
  <c r="AC16" i="1"/>
  <c r="AC11" i="1"/>
  <c r="AB112" i="1"/>
  <c r="AC58" i="1"/>
  <c r="AC35" i="1"/>
  <c r="W50" i="1"/>
  <c r="W63" i="1"/>
  <c r="AH24" i="1"/>
  <c r="AC69" i="1"/>
  <c r="AC82" i="1"/>
  <c r="AC85" i="1"/>
  <c r="W108" i="1"/>
  <c r="O69" i="1"/>
  <c r="N9" i="1"/>
  <c r="O108" i="1" s="1"/>
  <c r="O11" i="1"/>
  <c r="AC13" i="1"/>
  <c r="O58" i="1"/>
  <c r="AC63" i="1"/>
  <c r="W25" i="1"/>
  <c r="V24" i="1"/>
  <c r="U35" i="1"/>
  <c r="O50" i="1"/>
  <c r="O63" i="1"/>
  <c r="T9" i="1"/>
  <c r="AH13" i="1"/>
  <c r="AH12" i="1" s="1"/>
  <c r="AH11" i="1" s="1"/>
  <c r="U69" i="1"/>
  <c r="AC10" i="1"/>
  <c r="Y12" i="1"/>
  <c r="AI13" i="1"/>
  <c r="AI12" i="1" s="1"/>
  <c r="AI11" i="1" s="1"/>
  <c r="AC25" i="1"/>
  <c r="G26" i="1"/>
  <c r="O26" i="1"/>
  <c r="W26" i="1"/>
  <c r="F8" i="1"/>
  <c r="J12" i="1"/>
  <c r="R12" i="1"/>
  <c r="Z12" i="1"/>
  <c r="H24" i="1"/>
  <c r="X24" i="1"/>
  <c r="F25" i="1"/>
  <c r="AF26" i="1"/>
  <c r="AF25" i="1" s="1"/>
  <c r="AF24" i="1" s="1"/>
  <c r="AD7" i="1"/>
  <c r="L8" i="1"/>
  <c r="AG8" i="1" s="1"/>
  <c r="AG5" i="1" s="1"/>
  <c r="L9" i="1"/>
  <c r="M25" i="1" s="1"/>
  <c r="AD13" i="1"/>
  <c r="W13" i="1" l="1"/>
  <c r="W69" i="1"/>
  <c r="Y11" i="1"/>
  <c r="O13" i="1"/>
  <c r="O10" i="1"/>
  <c r="Y63" i="1"/>
  <c r="W58" i="1"/>
  <c r="P9" i="1"/>
  <c r="O25" i="1"/>
  <c r="Q12" i="1"/>
  <c r="M63" i="1"/>
  <c r="I58" i="1"/>
  <c r="M69" i="1"/>
  <c r="G85" i="1"/>
  <c r="G82" i="1"/>
  <c r="G35" i="1"/>
  <c r="G16" i="1"/>
  <c r="G12" i="1"/>
  <c r="U108" i="1"/>
  <c r="U50" i="1"/>
  <c r="U11" i="1"/>
  <c r="T112" i="1"/>
  <c r="U16" i="1"/>
  <c r="U58" i="1"/>
  <c r="M12" i="1"/>
  <c r="G50" i="1"/>
  <c r="U63" i="1"/>
  <c r="AG4" i="1"/>
  <c r="AG6" i="1" s="1"/>
  <c r="J11" i="1"/>
  <c r="AB122" i="1"/>
  <c r="AB113" i="1"/>
  <c r="AF8" i="1"/>
  <c r="AF5" i="1" s="1"/>
  <c r="AD8" i="1"/>
  <c r="I25" i="1"/>
  <c r="I10" i="1"/>
  <c r="G25" i="1"/>
  <c r="F24" i="1"/>
  <c r="F112" i="1" s="1"/>
  <c r="O85" i="1"/>
  <c r="O82" i="1"/>
  <c r="O35" i="1"/>
  <c r="O16" i="1"/>
  <c r="O12" i="1"/>
  <c r="N112" i="1"/>
  <c r="G108" i="1"/>
  <c r="I63" i="1"/>
  <c r="G11" i="1"/>
  <c r="G10" i="1"/>
  <c r="Q108" i="1"/>
  <c r="U82" i="1"/>
  <c r="I108" i="1"/>
  <c r="AF9" i="1"/>
  <c r="G13" i="1"/>
  <c r="M13" i="1"/>
  <c r="M85" i="1"/>
  <c r="AI4" i="1"/>
  <c r="AI6" i="1" s="1"/>
  <c r="AI9" i="1"/>
  <c r="U85" i="1"/>
  <c r="G69" i="1"/>
  <c r="I85" i="1"/>
  <c r="I82" i="1"/>
  <c r="I35" i="1"/>
  <c r="I13" i="1"/>
  <c r="H112" i="1"/>
  <c r="I16" i="1"/>
  <c r="I69" i="1"/>
  <c r="AH4" i="1"/>
  <c r="AH6" i="1" s="1"/>
  <c r="AH9" i="1"/>
  <c r="M35" i="1"/>
  <c r="AD12" i="1"/>
  <c r="AE26" i="1"/>
  <c r="Z11" i="1"/>
  <c r="U12" i="1"/>
  <c r="I11" i="1"/>
  <c r="Y85" i="1"/>
  <c r="Y82" i="1"/>
  <c r="Y35" i="1"/>
  <c r="X112" i="1"/>
  <c r="Y16" i="1"/>
  <c r="Y69" i="1"/>
  <c r="Y58" i="1"/>
  <c r="Y108" i="1"/>
  <c r="Y13" i="1"/>
  <c r="U10" i="1"/>
  <c r="M108" i="1"/>
  <c r="M50" i="1"/>
  <c r="M16" i="1"/>
  <c r="M58" i="1"/>
  <c r="M11" i="1"/>
  <c r="L112" i="1"/>
  <c r="R11" i="1"/>
  <c r="M10" i="1"/>
  <c r="Q85" i="1"/>
  <c r="Q82" i="1"/>
  <c r="Q35" i="1"/>
  <c r="Q69" i="1"/>
  <c r="Q13" i="1"/>
  <c r="P112" i="1"/>
  <c r="Q16" i="1"/>
  <c r="M82" i="1"/>
  <c r="I50" i="1"/>
  <c r="G63" i="1"/>
  <c r="Y10" i="1"/>
  <c r="V112" i="1"/>
  <c r="W85" i="1"/>
  <c r="W82" i="1"/>
  <c r="W35" i="1"/>
  <c r="W16" i="1"/>
  <c r="W12" i="1"/>
  <c r="U25" i="1"/>
  <c r="AF4" i="1" l="1"/>
  <c r="AF6" i="1" s="1"/>
  <c r="Q50" i="1"/>
  <c r="Q58" i="1"/>
  <c r="Q63" i="1"/>
  <c r="Q10" i="1"/>
  <c r="Q25" i="1"/>
  <c r="Q11" i="1"/>
  <c r="F122" i="1"/>
  <c r="F113" i="1"/>
  <c r="AD11" i="1"/>
  <c r="X113" i="1"/>
  <c r="X122" i="1"/>
  <c r="H113" i="1"/>
  <c r="H122" i="1"/>
  <c r="P122" i="1"/>
  <c r="P113" i="1"/>
  <c r="R9" i="1"/>
  <c r="S11" i="1" s="1"/>
  <c r="J9" i="1"/>
  <c r="AG112" i="1"/>
  <c r="L122" i="1"/>
  <c r="L113" i="1"/>
  <c r="V122" i="1"/>
  <c r="V113" i="1"/>
  <c r="N122" i="1"/>
  <c r="N113" i="1"/>
  <c r="T122" i="1"/>
  <c r="T113" i="1"/>
  <c r="Z9" i="1"/>
  <c r="AA11" i="1" s="1"/>
  <c r="J112" i="1" l="1"/>
  <c r="K69" i="1"/>
  <c r="K16" i="1"/>
  <c r="K25" i="1"/>
  <c r="K108" i="1"/>
  <c r="K50" i="1"/>
  <c r="K63" i="1"/>
  <c r="K35" i="1"/>
  <c r="K10" i="1"/>
  <c r="K82" i="1"/>
  <c r="K58" i="1"/>
  <c r="K85" i="1"/>
  <c r="K13" i="1"/>
  <c r="K12" i="1"/>
  <c r="K11" i="1"/>
  <c r="S69" i="1"/>
  <c r="S108" i="1"/>
  <c r="S50" i="1"/>
  <c r="S25" i="1"/>
  <c r="R112" i="1"/>
  <c r="S16" i="1"/>
  <c r="S63" i="1"/>
  <c r="S10" i="1"/>
  <c r="S58" i="1"/>
  <c r="S82" i="1"/>
  <c r="S35" i="1"/>
  <c r="S85" i="1"/>
  <c r="S13" i="1"/>
  <c r="S12" i="1"/>
  <c r="AD9" i="1"/>
  <c r="Z112" i="1"/>
  <c r="AA69" i="1"/>
  <c r="AA16" i="1"/>
  <c r="AA108" i="1"/>
  <c r="AA50" i="1"/>
  <c r="AA63" i="1"/>
  <c r="AA25" i="1"/>
  <c r="AA35" i="1"/>
  <c r="AA13" i="1"/>
  <c r="AA10" i="1"/>
  <c r="AA82" i="1"/>
  <c r="AA58" i="1"/>
  <c r="AA85" i="1"/>
  <c r="AA12" i="1"/>
  <c r="AG122" i="1"/>
  <c r="AG113" i="1"/>
  <c r="AD112" i="1" l="1"/>
  <c r="AE25" i="1"/>
  <c r="AE50" i="1"/>
  <c r="AE63" i="1"/>
  <c r="AE82" i="1"/>
  <c r="AE35" i="1"/>
  <c r="AE69" i="1"/>
  <c r="AE108" i="1"/>
  <c r="AE16" i="1"/>
  <c r="AE58" i="1"/>
  <c r="AE85" i="1"/>
  <c r="AE10" i="1"/>
  <c r="AE13" i="1"/>
  <c r="AE12" i="1"/>
  <c r="Z122" i="1"/>
  <c r="Z113" i="1"/>
  <c r="AI112" i="1"/>
  <c r="AE11" i="1"/>
  <c r="R122" i="1"/>
  <c r="R113" i="1"/>
  <c r="AH112" i="1"/>
  <c r="J113" i="1"/>
  <c r="J122" i="1"/>
  <c r="AF112" i="1"/>
  <c r="AF122" i="1" l="1"/>
  <c r="AF113" i="1"/>
  <c r="AD122" i="1"/>
  <c r="AD113" i="1"/>
  <c r="AI122" i="1"/>
  <c r="AI113" i="1"/>
  <c r="AH122" i="1"/>
  <c r="AH113" i="1"/>
</calcChain>
</file>

<file path=xl/comments1.xml><?xml version="1.0" encoding="utf-8"?>
<comments xmlns="http://schemas.openxmlformats.org/spreadsheetml/2006/main">
  <authors>
    <author>nancy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酒店性质有三个选项：酒店导入时填入或根据下拉列表选择</t>
        </r>
      </text>
    </comment>
    <comment ref="D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此列单元格锁定，酒店不得改动</t>
        </r>
      </text>
    </comment>
    <comment ref="F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数据格式：显示千分位，小数点后保留2位数</t>
        </r>
      </text>
    </comment>
    <comment ref="G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I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K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M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O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Q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S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U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W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Y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AA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AC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AE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数据格式：百分数，小数点后无需保留，此列锁定，酒店不得改动</t>
        </r>
      </text>
    </comment>
    <comment ref="AF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此列单元格锁定，公式计算得出，酒店不得改动。</t>
        </r>
      </text>
    </comment>
    <comment ref="AG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此列单元格锁定，公式计算得出，酒店不得改动。</t>
        </r>
      </text>
    </comment>
    <comment ref="AH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此列单元格锁定，公式计算得出，酒店不得改动。</t>
        </r>
      </text>
    </comment>
    <comment ref="AI1" authorId="0" shapeId="0">
      <text>
        <r>
          <rPr>
            <b/>
            <sz val="9"/>
            <rFont val="宋体"/>
            <family val="3"/>
            <charset val="134"/>
          </rPr>
          <t>nancy:</t>
        </r>
        <r>
          <rPr>
            <sz val="9"/>
            <rFont val="宋体"/>
            <family val="3"/>
            <charset val="134"/>
          </rPr>
          <t xml:space="preserve">
此列单元格锁定，公式计算得出，酒店不得改动。</t>
        </r>
      </text>
    </comment>
  </commentList>
</comments>
</file>

<file path=xl/sharedStrings.xml><?xml version="1.0" encoding="utf-8"?>
<sst xmlns="http://schemas.openxmlformats.org/spreadsheetml/2006/main" count="552" uniqueCount="166">
  <si>
    <t>酒店编号</t>
  </si>
  <si>
    <t>酒店名称</t>
  </si>
  <si>
    <t>酒店性质</t>
  </si>
  <si>
    <t>科目</t>
  </si>
  <si>
    <t>预算年份</t>
  </si>
  <si>
    <t>一月预算</t>
  </si>
  <si>
    <t>一月比例</t>
  </si>
  <si>
    <t>二月预算</t>
  </si>
  <si>
    <t>二月比例</t>
  </si>
  <si>
    <t>三月预算</t>
  </si>
  <si>
    <t>三月比例</t>
  </si>
  <si>
    <t>四月预算</t>
  </si>
  <si>
    <t>四月比例</t>
  </si>
  <si>
    <t>五月预算</t>
  </si>
  <si>
    <t>五月比例</t>
  </si>
  <si>
    <t>六月预算</t>
  </si>
  <si>
    <t>六月比例</t>
  </si>
  <si>
    <t>七月预算</t>
  </si>
  <si>
    <t>七月比例</t>
  </si>
  <si>
    <t>八月预算</t>
  </si>
  <si>
    <t>八月比例</t>
  </si>
  <si>
    <t>九月预算</t>
  </si>
  <si>
    <t>九月比例</t>
  </si>
  <si>
    <t>十月预算</t>
  </si>
  <si>
    <t>十月比例</t>
  </si>
  <si>
    <t>十一月预算</t>
  </si>
  <si>
    <t>十一月比例</t>
  </si>
  <si>
    <t>十二月预算</t>
  </si>
  <si>
    <t>十二月比例</t>
  </si>
  <si>
    <t>年合计预算</t>
  </si>
  <si>
    <t>年合计比例</t>
  </si>
  <si>
    <t>Q1</t>
  </si>
  <si>
    <t>Q2</t>
  </si>
  <si>
    <t>Q3</t>
  </si>
  <si>
    <t>Q4</t>
  </si>
  <si>
    <t>预算月份填写要求备注</t>
  </si>
  <si>
    <t>UC0001</t>
  </si>
  <si>
    <r>
      <rPr>
        <sz val="10"/>
        <color indexed="8"/>
        <rFont val="Calibri"/>
        <family val="2"/>
      </rPr>
      <t>XX</t>
    </r>
    <r>
      <rPr>
        <sz val="10"/>
        <color indexed="8"/>
        <rFont val="等线"/>
        <family val="3"/>
        <charset val="134"/>
      </rPr>
      <t>逸扉酒店</t>
    </r>
  </si>
  <si>
    <r>
      <rPr>
        <sz val="10"/>
        <color rgb="FF000000"/>
        <rFont val="等线"/>
        <family val="3"/>
        <charset val="134"/>
      </rPr>
      <t>直营店</t>
    </r>
    <r>
      <rPr>
        <sz val="10"/>
        <color rgb="FF000000"/>
        <rFont val="Calibri"/>
        <family val="2"/>
      </rPr>
      <t>/</t>
    </r>
    <r>
      <rPr>
        <sz val="10"/>
        <color rgb="FF000000"/>
        <rFont val="等线"/>
        <family val="3"/>
        <charset val="134"/>
      </rPr>
      <t>托管店</t>
    </r>
    <r>
      <rPr>
        <sz val="10"/>
        <color rgb="FF000000"/>
        <rFont val="Calibri"/>
        <family val="2"/>
      </rPr>
      <t>/</t>
    </r>
    <r>
      <rPr>
        <sz val="10"/>
        <color rgb="FF000000"/>
        <rFont val="宋体"/>
        <family val="3"/>
        <charset val="134"/>
      </rPr>
      <t>加盟店</t>
    </r>
  </si>
  <si>
    <r>
      <rPr>
        <b/>
        <sz val="10"/>
        <color rgb="FF000000"/>
        <rFont val="微软雅黑"/>
        <family val="2"/>
        <charset val="134"/>
      </rPr>
      <t>天数</t>
    </r>
    <r>
      <rPr>
        <b/>
        <sz val="10"/>
        <color rgb="FF000000"/>
        <rFont val="Calibri"/>
        <family val="2"/>
      </rPr>
      <t xml:space="preserve"> No of days</t>
    </r>
  </si>
  <si>
    <t>此行为固定值，每年预算模板更新，锁定单元格，酒店不能手工填写</t>
  </si>
  <si>
    <r>
      <rPr>
        <sz val="10"/>
        <color rgb="FFFF0000"/>
        <rFont val="等线"/>
        <family val="3"/>
        <charset val="134"/>
      </rPr>
      <t>房间数</t>
    </r>
    <r>
      <rPr>
        <sz val="10"/>
        <color rgb="FFFF0000"/>
        <rFont val="Calibri"/>
        <family val="2"/>
      </rPr>
      <t xml:space="preserve"> No of Rooms</t>
    </r>
  </si>
  <si>
    <t>此行为必填项，如当月无预算，填写为0，导入时须后台公式校验</t>
  </si>
  <si>
    <r>
      <rPr>
        <sz val="10"/>
        <color rgb="FFFF0000"/>
        <rFont val="等线"/>
        <family val="3"/>
        <charset val="134"/>
      </rPr>
      <t>平均房价</t>
    </r>
    <r>
      <rPr>
        <sz val="10"/>
        <color rgb="FFFF0000"/>
        <rFont val="Calibri"/>
        <family val="2"/>
      </rPr>
      <t xml:space="preserve"> ADR</t>
    </r>
  </si>
  <si>
    <r>
      <rPr>
        <sz val="10"/>
        <color rgb="FFFF0000"/>
        <rFont val="等线"/>
        <family val="3"/>
        <charset val="134"/>
      </rPr>
      <t>出租率</t>
    </r>
    <r>
      <rPr>
        <sz val="10"/>
        <color rgb="FFFF0000"/>
        <rFont val="Calibri"/>
        <family val="2"/>
      </rPr>
      <t xml:space="preserve"> OCC</t>
    </r>
  </si>
  <si>
    <r>
      <rPr>
        <b/>
        <sz val="10"/>
        <color rgb="FF000000"/>
        <rFont val="微软雅黑"/>
        <family val="2"/>
        <charset val="134"/>
      </rPr>
      <t>可售房平均房价</t>
    </r>
    <r>
      <rPr>
        <b/>
        <sz val="10"/>
        <color rgb="FF000000"/>
        <rFont val="Calibri"/>
        <family val="2"/>
      </rPr>
      <t xml:space="preserve"> RevPar</t>
    </r>
  </si>
  <si>
    <t>此行公式计算得出，锁定单元格，酒店不能手工填写</t>
  </si>
  <si>
    <r>
      <rPr>
        <b/>
        <sz val="10"/>
        <color rgb="FF000000"/>
        <rFont val="微软雅黑"/>
        <family val="2"/>
        <charset val="134"/>
      </rPr>
      <t>总房量</t>
    </r>
    <r>
      <rPr>
        <b/>
        <sz val="10"/>
        <color rgb="FF000000"/>
        <rFont val="Calibri"/>
        <family val="2"/>
      </rPr>
      <t xml:space="preserve"> Total Available Room</t>
    </r>
  </si>
  <si>
    <r>
      <rPr>
        <b/>
        <sz val="10"/>
        <color rgb="FF000000"/>
        <rFont val="微软雅黑"/>
        <family val="2"/>
        <charset val="134"/>
      </rPr>
      <t>出租房量</t>
    </r>
    <r>
      <rPr>
        <b/>
        <sz val="10"/>
        <color rgb="FF000000"/>
        <rFont val="Calibri"/>
        <family val="2"/>
      </rPr>
      <t>Occupied Room</t>
    </r>
  </si>
  <si>
    <r>
      <rPr>
        <b/>
        <sz val="10"/>
        <color rgb="FF000000"/>
        <rFont val="微软雅黑"/>
        <family val="2"/>
        <charset val="134"/>
      </rPr>
      <t>酒店考核总收入</t>
    </r>
    <r>
      <rPr>
        <b/>
        <sz val="10"/>
        <color rgb="FF000000"/>
        <rFont val="Calibri"/>
        <family val="2"/>
      </rPr>
      <t xml:space="preserve"> Total Revenue</t>
    </r>
  </si>
  <si>
    <t>此行为汇总行，公式计算得出，锁定单元格，酒店不能手工填写</t>
  </si>
  <si>
    <r>
      <rPr>
        <b/>
        <sz val="10"/>
        <color rgb="FF000000"/>
        <rFont val="微软雅黑"/>
        <family val="2"/>
        <charset val="134"/>
      </rPr>
      <t>客房收入</t>
    </r>
    <r>
      <rPr>
        <b/>
        <sz val="10"/>
        <color rgb="FF000000"/>
        <rFont val="Calibri"/>
        <family val="2"/>
      </rPr>
      <t xml:space="preserve"> Rooms Revenue </t>
    </r>
  </si>
  <si>
    <r>
      <rPr>
        <b/>
        <sz val="10"/>
        <color rgb="FF000000"/>
        <rFont val="微软雅黑"/>
        <family val="2"/>
        <charset val="134"/>
      </rPr>
      <t>非客房收入</t>
    </r>
    <r>
      <rPr>
        <b/>
        <sz val="10"/>
        <color rgb="FF000000"/>
        <rFont val="Calibri"/>
        <family val="2"/>
      </rPr>
      <t xml:space="preserve"> Non-room Revenue</t>
    </r>
  </si>
  <si>
    <r>
      <rPr>
        <b/>
        <sz val="10"/>
        <color rgb="FF000000"/>
        <rFont val="微软雅黑"/>
        <family val="2"/>
        <charset val="134"/>
      </rPr>
      <t>餐饮酒水收入</t>
    </r>
    <r>
      <rPr>
        <b/>
        <sz val="10"/>
        <color rgb="FF000000"/>
        <rFont val="Calibri"/>
        <family val="2"/>
      </rPr>
      <t xml:space="preserve"> F&amp;B Revenue</t>
    </r>
  </si>
  <si>
    <r>
      <t>—</t>
    </r>
    <r>
      <rPr>
        <b/>
        <sz val="10"/>
        <color indexed="8"/>
        <rFont val="等线"/>
        <family val="3"/>
        <charset val="134"/>
      </rPr>
      <t>餐饮收入</t>
    </r>
    <r>
      <rPr>
        <b/>
        <sz val="10"/>
        <color indexed="8"/>
        <rFont val="Calibri"/>
        <family val="2"/>
      </rPr>
      <t xml:space="preserve"> Food  Revenue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</si>
  <si>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酒水收入</t>
    </r>
    <r>
      <rPr>
        <sz val="10"/>
        <color indexed="8"/>
        <rFont val="Calibri"/>
        <family val="2"/>
      </rPr>
      <t xml:space="preserve"> Beveragae Revenue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</si>
  <si>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会务收入</t>
    </r>
    <r>
      <rPr>
        <sz val="10"/>
        <color indexed="8"/>
        <rFont val="Calibri"/>
        <family val="2"/>
      </rPr>
      <t xml:space="preserve"> Meeting Revenue</t>
    </r>
  </si>
  <si>
    <t>此科目加盟店锁定，不得填写，仅直营店、托管店填写适用</t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</si>
  <si>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商品收入</t>
    </r>
    <r>
      <rPr>
        <sz val="10"/>
        <color indexed="8"/>
        <rFont val="Calibri"/>
        <family val="2"/>
      </rPr>
      <t xml:space="preserve"> Commercial Goods Revenue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</si>
  <si>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优选平台收入</t>
    </r>
    <r>
      <rPr>
        <sz val="10"/>
        <color indexed="8"/>
        <rFont val="Calibri"/>
        <family val="2"/>
      </rPr>
      <t xml:space="preserve"> E-Commerce Platform Revenue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</si>
  <si>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房屋转租收入</t>
    </r>
    <r>
      <rPr>
        <sz val="10"/>
        <color indexed="8"/>
        <rFont val="Calibri"/>
        <family val="2"/>
      </rPr>
      <t xml:space="preserve"> Space Rental 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</si>
  <si>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卡收入</t>
    </r>
    <r>
      <rPr>
        <sz val="10"/>
        <color indexed="8"/>
        <rFont val="Calibri"/>
        <family val="2"/>
      </rPr>
      <t xml:space="preserve"> Card Sales Revenue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</si>
  <si>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代客洗衣收入</t>
    </r>
    <r>
      <rPr>
        <sz val="10"/>
        <color indexed="8"/>
        <rFont val="Calibri"/>
        <family val="2"/>
      </rPr>
      <t xml:space="preserve"> Guest Laundry Revenue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</si>
  <si>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其他收入</t>
    </r>
    <r>
      <rPr>
        <sz val="10"/>
        <color indexed="8"/>
        <rFont val="Calibri"/>
        <family val="2"/>
      </rPr>
      <t xml:space="preserve"> Other Revenue</t>
    </r>
  </si>
  <si>
    <r>
      <rPr>
        <b/>
        <sz val="10"/>
        <color rgb="FF000000"/>
        <rFont val="微软雅黑"/>
        <family val="2"/>
        <charset val="134"/>
      </rPr>
      <t>直营店经营费用</t>
    </r>
    <r>
      <rPr>
        <b/>
        <sz val="10"/>
        <color rgb="FF000000"/>
        <rFont val="Calibri"/>
        <family val="2"/>
      </rPr>
      <t xml:space="preserve"> Operating Expenses</t>
    </r>
  </si>
  <si>
    <r>
      <rPr>
        <b/>
        <sz val="10"/>
        <color rgb="FF000000"/>
        <rFont val="微软雅黑"/>
        <family val="2"/>
        <charset val="134"/>
      </rPr>
      <t>营业成本</t>
    </r>
    <r>
      <rPr>
        <b/>
        <sz val="10"/>
        <color rgb="FF000000"/>
        <rFont val="Calibri"/>
        <family val="2"/>
      </rPr>
      <t xml:space="preserve"> Hotel Operating Cost</t>
    </r>
  </si>
  <si>
    <r>
      <t>—</t>
    </r>
    <r>
      <rPr>
        <b/>
        <sz val="10"/>
        <color indexed="8"/>
        <rFont val="等线"/>
        <family val="3"/>
        <charset val="134"/>
      </rPr>
      <t>餐饮成本</t>
    </r>
    <r>
      <rPr>
        <b/>
        <sz val="10"/>
        <color indexed="8"/>
        <rFont val="Calibri"/>
        <family val="2"/>
      </rPr>
      <t xml:space="preserve"> Food cost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</si>
  <si>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酒水成本</t>
    </r>
    <r>
      <rPr>
        <sz val="10"/>
        <color indexed="8"/>
        <rFont val="Calibri"/>
        <family val="2"/>
      </rPr>
      <t xml:space="preserve"> Beverage cost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</si>
  <si>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其他餐饮成本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</si>
  <si>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商品成本</t>
    </r>
    <r>
      <rPr>
        <sz val="10"/>
        <color indexed="8"/>
        <rFont val="Calibri"/>
        <family val="2"/>
      </rPr>
      <t xml:space="preserve"> Commercial Goods Cost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</si>
  <si>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优选平台成本</t>
    </r>
    <r>
      <rPr>
        <sz val="10"/>
        <color indexed="8"/>
        <rFont val="Calibri"/>
        <family val="2"/>
      </rPr>
      <t xml:space="preserve"> E-Commerce Platform cost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</si>
  <si>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卡类成本</t>
    </r>
    <r>
      <rPr>
        <sz val="10"/>
        <color indexed="8"/>
        <rFont val="Calibri"/>
        <family val="2"/>
      </rPr>
      <t xml:space="preserve"> Card Sales Cost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</si>
  <si>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储值卡成本</t>
    </r>
    <r>
      <rPr>
        <sz val="10"/>
        <color indexed="8"/>
        <rFont val="Calibri"/>
        <family val="2"/>
      </rPr>
      <t xml:space="preserve"> Deposit Card Cost</t>
    </r>
  </si>
  <si>
    <r>
      <rPr>
        <b/>
        <sz val="10"/>
        <color rgb="FF000000"/>
        <rFont val="微软雅黑"/>
        <family val="2"/>
        <charset val="134"/>
      </rPr>
      <t>人力成本</t>
    </r>
    <r>
      <rPr>
        <b/>
        <sz val="10"/>
        <color rgb="FF000000"/>
        <rFont val="Calibri"/>
        <family val="2"/>
      </rPr>
      <t xml:space="preserve"> Labor Cost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</si>
  <si>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应发工资</t>
    </r>
    <r>
      <rPr>
        <sz val="10"/>
        <color indexed="8"/>
        <rFont val="Calibri"/>
        <family val="2"/>
      </rPr>
      <t xml:space="preserve"> Salary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</si>
  <si>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绩效达标奖计提</t>
    </r>
    <r>
      <rPr>
        <sz val="10"/>
        <color indexed="8"/>
        <rFont val="Calibri"/>
        <family val="2"/>
      </rPr>
      <t xml:space="preserve"> Targeted Bonus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</si>
  <si>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绩效超额奖预提</t>
    </r>
    <r>
      <rPr>
        <sz val="10"/>
        <color indexed="8"/>
        <rFont val="Calibri"/>
        <family val="2"/>
      </rPr>
      <t xml:space="preserve"> Exceeded Target Bonus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</si>
  <si>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考核提成</t>
    </r>
    <r>
      <rPr>
        <sz val="10"/>
        <color indexed="8"/>
        <rFont val="Calibri"/>
        <family val="2"/>
      </rPr>
      <t xml:space="preserve"> Hotel GM bonus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</si>
  <si>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其他奖励</t>
    </r>
    <r>
      <rPr>
        <sz val="10"/>
        <color indexed="8"/>
        <rFont val="Calibri"/>
        <family val="2"/>
      </rPr>
      <t xml:space="preserve"> Other Incentive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</si>
  <si>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卡奖励</t>
    </r>
    <r>
      <rPr>
        <sz val="10"/>
        <color indexed="8"/>
        <rFont val="Calibri"/>
        <family val="2"/>
      </rPr>
      <t xml:space="preserve"> Card Sales Incentive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</si>
  <si>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加班费</t>
    </r>
    <r>
      <rPr>
        <sz val="10"/>
        <color indexed="8"/>
        <rFont val="Calibri"/>
        <family val="2"/>
      </rPr>
      <t xml:space="preserve"> Overtime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</si>
  <si>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社保</t>
    </r>
    <r>
      <rPr>
        <sz val="10"/>
        <color indexed="8"/>
        <rFont val="Calibri"/>
        <family val="2"/>
      </rPr>
      <t xml:space="preserve"> Social Benefits Contribution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</si>
  <si>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福利费</t>
    </r>
    <r>
      <rPr>
        <sz val="10"/>
        <color indexed="8"/>
        <rFont val="Calibri"/>
        <family val="2"/>
      </rPr>
      <t xml:space="preserve"> Benefits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</si>
  <si>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工会经费</t>
    </r>
    <r>
      <rPr>
        <sz val="10"/>
        <color indexed="8"/>
        <rFont val="Calibri"/>
        <family val="2"/>
      </rPr>
      <t xml:space="preserve"> Union Fee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</si>
  <si>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职工教育经费</t>
    </r>
    <r>
      <rPr>
        <sz val="10"/>
        <color indexed="8"/>
        <rFont val="Calibri"/>
        <family val="2"/>
      </rPr>
      <t xml:space="preserve"> Education Fee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</si>
  <si>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外部服务费</t>
    </r>
    <r>
      <rPr>
        <sz val="10"/>
        <color indexed="8"/>
        <rFont val="Calibri"/>
        <family val="2"/>
      </rPr>
      <t xml:space="preserve"> Outsourced Service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</si>
  <si>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委派服务费</t>
    </r>
    <r>
      <rPr>
        <sz val="10"/>
        <color indexed="8"/>
        <rFont val="Calibri"/>
        <family val="2"/>
      </rPr>
      <t xml:space="preserve"> Secondary Service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</si>
  <si>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员工餐（调整）</t>
    </r>
    <r>
      <rPr>
        <sz val="10"/>
        <color indexed="8"/>
        <rFont val="Calibri"/>
        <family val="2"/>
      </rPr>
      <t xml:space="preserve"> Staff Meal (Adj)</t>
    </r>
  </si>
  <si>
    <r>
      <rPr>
        <b/>
        <sz val="10"/>
        <color rgb="FF000000"/>
        <rFont val="微软雅黑"/>
        <family val="2"/>
        <charset val="134"/>
      </rPr>
      <t>物料用品</t>
    </r>
    <r>
      <rPr>
        <b/>
        <sz val="10"/>
        <color rgb="FF000000"/>
        <rFont val="Calibri"/>
        <family val="2"/>
      </rPr>
      <t xml:space="preserve"> Operation Supplies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</si>
  <si>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棉织品</t>
    </r>
    <r>
      <rPr>
        <sz val="10"/>
        <color indexed="8"/>
        <rFont val="Calibri"/>
        <family val="2"/>
      </rPr>
      <t xml:space="preserve"> Linen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</si>
  <si>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服务用品</t>
    </r>
    <r>
      <rPr>
        <sz val="10"/>
        <color indexed="8"/>
        <rFont val="Calibri"/>
        <family val="2"/>
      </rPr>
      <t xml:space="preserve"> Service Supplies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</si>
  <si>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清洁用品</t>
    </r>
    <r>
      <rPr>
        <sz val="10"/>
        <color indexed="8"/>
        <rFont val="Calibri"/>
        <family val="2"/>
      </rPr>
      <t xml:space="preserve"> Cleaning Supplies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</si>
  <si>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低值易耗品</t>
    </r>
    <r>
      <rPr>
        <sz val="10"/>
        <color indexed="8"/>
        <rFont val="Calibri"/>
        <family val="2"/>
      </rPr>
      <t xml:space="preserve">  Amenities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</si>
  <si>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餐厨具</t>
    </r>
    <r>
      <rPr>
        <sz val="10"/>
        <color indexed="8"/>
        <rFont val="Calibri"/>
        <family val="2"/>
      </rPr>
      <t xml:space="preserve"> Kitchen Utensil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</si>
  <si>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其他物料用品</t>
    </r>
    <r>
      <rPr>
        <sz val="10"/>
        <color indexed="8"/>
        <rFont val="Calibri"/>
        <family val="2"/>
      </rPr>
      <t xml:space="preserve"> Other Supplies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</si>
  <si>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工作服</t>
    </r>
    <r>
      <rPr>
        <sz val="10"/>
        <color indexed="8"/>
        <rFont val="Calibri"/>
        <family val="2"/>
      </rPr>
      <t xml:space="preserve"> Uniform</t>
    </r>
  </si>
  <si>
    <r>
      <rPr>
        <b/>
        <sz val="10"/>
        <color rgb="FF000000"/>
        <rFont val="微软雅黑"/>
        <family val="2"/>
        <charset val="134"/>
      </rPr>
      <t>能源费用</t>
    </r>
    <r>
      <rPr>
        <b/>
        <sz val="10"/>
        <color rgb="FF000000"/>
        <rFont val="Calibri"/>
        <family val="2"/>
      </rPr>
      <t xml:space="preserve"> Utilities</t>
    </r>
  </si>
  <si>
    <t>此行为公式计算得出，锁定单元格，酒店不能手工填写</t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</si>
  <si>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水费</t>
    </r>
    <r>
      <rPr>
        <sz val="10"/>
        <color indexed="8"/>
        <rFont val="Calibri"/>
        <family val="2"/>
      </rPr>
      <t xml:space="preserve"> Water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</si>
  <si>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电费</t>
    </r>
    <r>
      <rPr>
        <sz val="10"/>
        <color indexed="8"/>
        <rFont val="Calibri"/>
        <family val="2"/>
      </rPr>
      <t xml:space="preserve"> Electricity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</si>
  <si>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煤、燃气费</t>
    </r>
    <r>
      <rPr>
        <sz val="10"/>
        <color indexed="8"/>
        <rFont val="Calibri"/>
        <family val="2"/>
      </rPr>
      <t xml:space="preserve"> Gas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</si>
  <si>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热力供暖费</t>
    </r>
    <r>
      <rPr>
        <sz val="10"/>
        <color indexed="8"/>
        <rFont val="Calibri"/>
        <family val="2"/>
      </rPr>
      <t xml:space="preserve"> Heating</t>
    </r>
  </si>
  <si>
    <r>
      <rPr>
        <b/>
        <sz val="10"/>
        <color rgb="FF000000"/>
        <rFont val="微软雅黑"/>
        <family val="2"/>
        <charset val="134"/>
      </rPr>
      <t>维修保养费</t>
    </r>
    <r>
      <rPr>
        <b/>
        <sz val="10"/>
        <color rgb="FF000000"/>
        <rFont val="Calibri"/>
        <family val="2"/>
      </rPr>
      <t xml:space="preserve"> Maintenance Fee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</si>
  <si>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酒店维修</t>
    </r>
    <r>
      <rPr>
        <sz val="10"/>
        <color indexed="8"/>
        <rFont val="Calibri"/>
        <family val="2"/>
      </rPr>
      <t xml:space="preserve"> Hotel Maintenance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</si>
  <si>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电梯维保</t>
    </r>
    <r>
      <rPr>
        <sz val="10"/>
        <color indexed="8"/>
        <rFont val="Calibri"/>
        <family val="2"/>
      </rPr>
      <t xml:space="preserve"> Elevator Maintenance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</si>
  <si>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消防维保</t>
    </r>
    <r>
      <rPr>
        <sz val="10"/>
        <color indexed="8"/>
        <rFont val="Calibri"/>
        <family val="2"/>
      </rPr>
      <t xml:space="preserve"> Fire Maintenance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</si>
  <si>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空调维保</t>
    </r>
    <r>
      <rPr>
        <sz val="10"/>
        <color indexed="8"/>
        <rFont val="Calibri"/>
        <family val="2"/>
      </rPr>
      <t xml:space="preserve"> Air-conditioner Maintenance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</si>
  <si>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公司统筹</t>
    </r>
    <r>
      <rPr>
        <sz val="10"/>
        <color indexed="8"/>
        <rFont val="Calibri"/>
        <family val="2"/>
      </rPr>
      <t xml:space="preserve"> Group Reserve</t>
    </r>
  </si>
  <si>
    <r>
      <rPr>
        <b/>
        <sz val="10"/>
        <color rgb="FF000000"/>
        <rFont val="微软雅黑"/>
        <family val="2"/>
        <charset val="134"/>
      </rPr>
      <t>销售佣金</t>
    </r>
    <r>
      <rPr>
        <b/>
        <sz val="10"/>
        <color rgb="FF000000"/>
        <rFont val="Calibri"/>
        <family val="2"/>
      </rPr>
      <t xml:space="preserve"> Commission Charge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</si>
  <si>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中央自营渠道服务费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</si>
  <si>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美团总对总服务费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</si>
  <si>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飞猪总对总服务费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</si>
  <si>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抖音结算服务费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</si>
  <si>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中央合作平台渠道服务费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</si>
  <si>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逸粉小程序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</si>
  <si>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销售服务费</t>
    </r>
    <r>
      <rPr>
        <sz val="10"/>
        <color indexed="8"/>
        <rFont val="Calibri"/>
        <family val="2"/>
      </rPr>
      <t xml:space="preserve"> Sales Commission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</si>
  <si>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携程</t>
    </r>
    <r>
      <rPr>
        <sz val="10"/>
        <color indexed="8"/>
        <rFont val="Calibri"/>
        <family val="2"/>
      </rPr>
      <t xml:space="preserve"> Ctrip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</si>
  <si>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艺龙</t>
    </r>
    <r>
      <rPr>
        <sz val="10"/>
        <color indexed="8"/>
        <rFont val="Calibri"/>
        <family val="2"/>
      </rPr>
      <t xml:space="preserve"> Yi Long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</si>
  <si>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去哪儿</t>
    </r>
    <r>
      <rPr>
        <sz val="10"/>
        <color indexed="8"/>
        <rFont val="Calibri"/>
        <family val="2"/>
      </rPr>
      <t xml:space="preserve"> Qunaer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</si>
  <si>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美团</t>
    </r>
    <r>
      <rPr>
        <sz val="10"/>
        <color indexed="8"/>
        <rFont val="Calibri"/>
        <family val="2"/>
      </rPr>
      <t xml:space="preserve"> Meituan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</si>
  <si>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其他服务费</t>
    </r>
  </si>
  <si>
    <r>
      <rPr>
        <b/>
        <sz val="10"/>
        <color rgb="FF000000"/>
        <rFont val="微软雅黑"/>
        <family val="2"/>
        <charset val="134"/>
      </rPr>
      <t>洗涤费</t>
    </r>
    <r>
      <rPr>
        <b/>
        <sz val="10"/>
        <color rgb="FF000000"/>
        <rFont val="Calibri"/>
        <family val="2"/>
      </rPr>
      <t xml:space="preserve"> Laundry Expenses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</si>
  <si>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洗涤费</t>
    </r>
    <r>
      <rPr>
        <sz val="10"/>
        <color indexed="8"/>
        <rFont val="Calibri"/>
        <family val="2"/>
      </rPr>
      <t xml:space="preserve"> Laundry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</si>
  <si>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清洁费</t>
    </r>
    <r>
      <rPr>
        <sz val="10"/>
        <color indexed="8"/>
        <rFont val="Calibri"/>
        <family val="2"/>
      </rPr>
      <t xml:space="preserve"> Cleaning</t>
    </r>
  </si>
  <si>
    <r>
      <rPr>
        <b/>
        <sz val="10"/>
        <color rgb="FF000000"/>
        <rFont val="微软雅黑"/>
        <family val="2"/>
        <charset val="134"/>
      </rPr>
      <t>其他费用</t>
    </r>
    <r>
      <rPr>
        <b/>
        <sz val="10"/>
        <color rgb="FF000000"/>
        <rFont val="Calibri"/>
        <family val="2"/>
      </rPr>
      <t xml:space="preserve"> Other Expenses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</si>
  <si>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印刷及文具费</t>
    </r>
    <r>
      <rPr>
        <sz val="10"/>
        <color indexed="8"/>
        <rFont val="Calibri"/>
        <family val="2"/>
      </rPr>
      <t xml:space="preserve"> Printing Paper and Stationery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</si>
  <si>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差旅费</t>
    </r>
    <r>
      <rPr>
        <sz val="10"/>
        <color indexed="8"/>
        <rFont val="Calibri"/>
        <family val="2"/>
      </rPr>
      <t xml:space="preserve"> Travel Expenses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</si>
  <si>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免费停车</t>
    </r>
    <r>
      <rPr>
        <sz val="10"/>
        <color indexed="8"/>
        <rFont val="Calibri"/>
        <family val="2"/>
      </rPr>
      <t xml:space="preserve"> Free Parking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</si>
  <si>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有线电视费</t>
    </r>
    <r>
      <rPr>
        <sz val="10"/>
        <color indexed="8"/>
        <rFont val="Calibri"/>
        <family val="2"/>
      </rPr>
      <t xml:space="preserve"> Cable TV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</si>
  <si>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电话费</t>
    </r>
    <r>
      <rPr>
        <sz val="10"/>
        <color indexed="8"/>
        <rFont val="Calibri"/>
        <family val="2"/>
      </rPr>
      <t xml:space="preserve"> telephone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</si>
  <si>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排污费</t>
    </r>
    <r>
      <rPr>
        <sz val="10"/>
        <color indexed="8"/>
        <rFont val="Calibri"/>
        <family val="2"/>
      </rPr>
      <t xml:space="preserve"> Sewage charge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</si>
  <si>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咨询服务费</t>
    </r>
    <r>
      <rPr>
        <sz val="10"/>
        <color indexed="8"/>
        <rFont val="Calibri"/>
        <family val="2"/>
      </rPr>
      <t xml:space="preserve"> Consultant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</si>
  <si>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网络费</t>
    </r>
    <r>
      <rPr>
        <sz val="10"/>
        <color indexed="8"/>
        <rFont val="Calibri"/>
        <family val="2"/>
      </rPr>
      <t xml:space="preserve"> Internet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</si>
  <si>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保险费</t>
    </r>
    <r>
      <rPr>
        <sz val="10"/>
        <color indexed="8"/>
        <rFont val="Calibri"/>
        <family val="2"/>
      </rPr>
      <t xml:space="preserve"> Insurance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</si>
  <si>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绿植</t>
    </r>
    <r>
      <rPr>
        <sz val="10"/>
        <color indexed="8"/>
        <rFont val="Calibri"/>
        <family val="2"/>
      </rPr>
      <t xml:space="preserve"> Plant &amp; Landscaping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</si>
  <si>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员工宿舍费用</t>
    </r>
    <r>
      <rPr>
        <sz val="10"/>
        <color indexed="8"/>
        <rFont val="Calibri"/>
        <family val="2"/>
      </rPr>
      <t xml:space="preserve"> Dormitory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</si>
  <si>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保安服务费用</t>
    </r>
    <r>
      <rPr>
        <sz val="10"/>
        <color indexed="8"/>
        <rFont val="Calibri"/>
        <family val="2"/>
      </rPr>
      <t xml:space="preserve"> Security Service fee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</si>
  <si>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家宾会员费</t>
    </r>
    <r>
      <rPr>
        <sz val="10"/>
        <color indexed="8"/>
        <rFont val="Calibri"/>
        <family val="2"/>
      </rPr>
      <t xml:space="preserve"> Jiabing fee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</si>
  <si>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软件维护费</t>
    </r>
    <r>
      <rPr>
        <sz val="10"/>
        <color indexed="8"/>
        <rFont val="Calibri"/>
        <family val="2"/>
      </rPr>
      <t xml:space="preserve"> Software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</si>
  <si>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会员积分服务费</t>
    </r>
    <r>
      <rPr>
        <sz val="10"/>
        <color indexed="8"/>
        <rFont val="Calibri"/>
        <family val="2"/>
      </rPr>
      <t xml:space="preserve"> WOHY Member point service</t>
    </r>
  </si>
  <si>
    <r>
      <rPr>
        <sz val="10"/>
        <color indexed="8"/>
        <rFont val="Calibri"/>
        <family val="2"/>
      </rPr>
      <t xml:space="preserve">—CRS </t>
    </r>
    <r>
      <rPr>
        <sz val="10"/>
        <color indexed="8"/>
        <rFont val="等线"/>
        <family val="3"/>
        <charset val="134"/>
      </rPr>
      <t>服务费</t>
    </r>
  </si>
  <si>
    <r>
      <rPr>
        <sz val="10"/>
        <color indexed="8"/>
        <rFont val="Calibri"/>
        <family val="2"/>
      </rPr>
      <t>—HOPS</t>
    </r>
    <r>
      <rPr>
        <sz val="10"/>
        <color indexed="8"/>
        <rFont val="等线"/>
        <family val="3"/>
        <charset val="134"/>
      </rPr>
      <t>系统直营成本</t>
    </r>
    <r>
      <rPr>
        <sz val="10"/>
        <color indexed="8"/>
        <rFont val="Calibri"/>
        <family val="2"/>
      </rPr>
      <t xml:space="preserve"> HOPS system cost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</si>
  <si>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租赁费</t>
    </r>
    <r>
      <rPr>
        <sz val="10"/>
        <color indexed="8"/>
        <rFont val="Calibri"/>
        <family val="2"/>
      </rPr>
      <t xml:space="preserve"> Rent expense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</si>
  <si>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商务用品</t>
    </r>
    <r>
      <rPr>
        <sz val="10"/>
        <color indexed="8"/>
        <rFont val="Calibri"/>
        <family val="2"/>
      </rPr>
      <t xml:space="preserve"> Business Gift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</si>
  <si>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消杀费用</t>
    </r>
    <r>
      <rPr>
        <sz val="10"/>
        <color indexed="8"/>
        <rFont val="Calibri"/>
        <family val="2"/>
      </rPr>
      <t xml:space="preserve"> Pest Control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</si>
  <si>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其他</t>
    </r>
    <r>
      <rPr>
        <sz val="10"/>
        <color indexed="8"/>
        <rFont val="Calibri"/>
        <family val="2"/>
      </rPr>
      <t xml:space="preserve"> Others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</si>
  <si>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财务费用</t>
    </r>
    <r>
      <rPr>
        <sz val="10"/>
        <color indexed="8"/>
        <rFont val="Calibri"/>
        <family val="2"/>
      </rPr>
      <t xml:space="preserve"> bank fee</t>
    </r>
  </si>
  <si>
    <r>
      <rPr>
        <b/>
        <sz val="10"/>
        <color rgb="FF000000"/>
        <rFont val="微软雅黑"/>
        <family val="2"/>
        <charset val="134"/>
      </rPr>
      <t>酒店市场营销费用</t>
    </r>
    <r>
      <rPr>
        <b/>
        <sz val="10"/>
        <color rgb="FF000000"/>
        <rFont val="Calibri"/>
        <family val="2"/>
      </rPr>
      <t xml:space="preserve"> Sales &amp; Marketing Expenses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</si>
  <si>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业务招待费</t>
    </r>
    <r>
      <rPr>
        <sz val="10"/>
        <color indexed="8"/>
        <rFont val="Calibri"/>
        <family val="2"/>
      </rPr>
      <t xml:space="preserve"> Entertainment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</si>
  <si>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广告费</t>
    </r>
    <r>
      <rPr>
        <sz val="10"/>
        <color indexed="8"/>
        <rFont val="Calibri"/>
        <family val="2"/>
      </rPr>
      <t xml:space="preserve"> Advertisement</t>
    </r>
  </si>
  <si>
    <r>
      <rPr>
        <sz val="10"/>
        <color indexed="8"/>
        <rFont val="Calibri"/>
        <family val="2"/>
      </rPr>
      <t>—</t>
    </r>
    <r>
      <rPr>
        <sz val="10"/>
        <color indexed="8"/>
        <rFont val="等线"/>
        <family val="3"/>
        <charset val="134"/>
      </rPr>
      <t>宣传费</t>
    </r>
    <r>
      <rPr>
        <sz val="10"/>
        <color indexed="8"/>
        <rFont val="Calibri"/>
        <family val="2"/>
      </rPr>
      <t xml:space="preserve"> Marketing</t>
    </r>
  </si>
  <si>
    <r>
      <rPr>
        <b/>
        <sz val="10"/>
        <color rgb="FF000000"/>
        <rFont val="微软雅黑"/>
        <family val="2"/>
        <charset val="134"/>
      </rPr>
      <t>直营酒店经营毛利</t>
    </r>
    <r>
      <rPr>
        <b/>
        <sz val="10"/>
        <color rgb="FF000000"/>
        <rFont val="Calibri"/>
        <family val="2"/>
      </rPr>
      <t xml:space="preserve"> GOP of Lease and Operate Hotel</t>
    </r>
  </si>
  <si>
    <r>
      <rPr>
        <b/>
        <sz val="10"/>
        <color rgb="FF000000"/>
        <rFont val="微软雅黑"/>
        <family val="2"/>
        <charset val="134"/>
      </rPr>
      <t>直营酒店店经营毛利</t>
    </r>
    <r>
      <rPr>
        <b/>
        <sz val="10"/>
        <color rgb="FF000000"/>
        <rFont val="Calibri"/>
        <family val="2"/>
      </rPr>
      <t>%  GOP% of Lease and Operate Hotel</t>
    </r>
  </si>
  <si>
    <r>
      <rPr>
        <sz val="10"/>
        <color indexed="8"/>
        <rFont val="等线"/>
        <family val="3"/>
        <charset val="134"/>
      </rPr>
      <t>资产处置损益</t>
    </r>
  </si>
  <si>
    <r>
      <rPr>
        <sz val="10"/>
        <color indexed="8"/>
        <rFont val="等线"/>
        <family val="3"/>
        <charset val="134"/>
      </rPr>
      <t>其他收益</t>
    </r>
    <r>
      <rPr>
        <sz val="10"/>
        <color indexed="8"/>
        <rFont val="Calibri"/>
        <family val="2"/>
      </rPr>
      <t xml:space="preserve"> Other Income</t>
    </r>
  </si>
  <si>
    <r>
      <rPr>
        <sz val="10"/>
        <color indexed="8"/>
        <rFont val="等线"/>
        <family val="3"/>
        <charset val="134"/>
      </rPr>
      <t>加计扣除</t>
    </r>
    <r>
      <rPr>
        <sz val="10"/>
        <color indexed="8"/>
        <rFont val="Calibri"/>
        <family val="2"/>
      </rPr>
      <t xml:space="preserve"> Additional Deduction</t>
    </r>
  </si>
  <si>
    <r>
      <rPr>
        <sz val="10"/>
        <color indexed="8"/>
        <rFont val="等线"/>
        <family val="3"/>
        <charset val="134"/>
      </rPr>
      <t>租金</t>
    </r>
    <r>
      <rPr>
        <sz val="10"/>
        <color indexed="8"/>
        <rFont val="Calibri"/>
        <family val="2"/>
      </rPr>
      <t xml:space="preserve"> Lease Charge</t>
    </r>
  </si>
  <si>
    <r>
      <rPr>
        <sz val="10"/>
        <color indexed="8"/>
        <rFont val="等线"/>
        <family val="3"/>
        <charset val="134"/>
      </rPr>
      <t>物业管理费</t>
    </r>
    <r>
      <rPr>
        <sz val="10"/>
        <color indexed="8"/>
        <rFont val="Calibri"/>
        <family val="2"/>
      </rPr>
      <t xml:space="preserve"> Property Management</t>
    </r>
  </si>
  <si>
    <r>
      <rPr>
        <sz val="10"/>
        <color indexed="8"/>
        <rFont val="等线"/>
        <family val="3"/>
        <charset val="134"/>
      </rPr>
      <t>折旧和摊销</t>
    </r>
    <r>
      <rPr>
        <sz val="10"/>
        <color indexed="8"/>
        <rFont val="Calibri"/>
        <family val="2"/>
      </rPr>
      <t xml:space="preserve"> Depreciation and Amortization</t>
    </r>
  </si>
  <si>
    <r>
      <rPr>
        <sz val="10"/>
        <color indexed="8"/>
        <rFont val="等线"/>
        <family val="3"/>
        <charset val="134"/>
      </rPr>
      <t>税金及附加</t>
    </r>
    <r>
      <rPr>
        <sz val="10"/>
        <color indexed="8"/>
        <rFont val="Calibri"/>
        <family val="2"/>
      </rPr>
      <t xml:space="preserve"> Tax Levis</t>
    </r>
  </si>
  <si>
    <r>
      <rPr>
        <sz val="10"/>
        <color indexed="8"/>
        <rFont val="等线"/>
        <family val="3"/>
        <charset val="134"/>
      </rPr>
      <t>营业外收入</t>
    </r>
    <r>
      <rPr>
        <sz val="10"/>
        <color indexed="8"/>
        <rFont val="Calibri"/>
        <family val="2"/>
      </rPr>
      <t xml:space="preserve"> Non-operating Income</t>
    </r>
  </si>
  <si>
    <r>
      <rPr>
        <b/>
        <sz val="10"/>
        <color rgb="FF000000"/>
        <rFont val="微软雅黑"/>
        <family val="2"/>
        <charset val="134"/>
      </rPr>
      <t>直营酒店营业利润</t>
    </r>
    <r>
      <rPr>
        <b/>
        <sz val="10"/>
        <color rgb="FF000000"/>
        <rFont val="Calibri"/>
        <family val="2"/>
      </rPr>
      <t xml:space="preserve"> Lease and Operate Hotel Profit before tax</t>
    </r>
  </si>
  <si>
    <r>
      <t xml:space="preserve">A. </t>
    </r>
    <r>
      <rPr>
        <sz val="10"/>
        <rFont val="宋体"/>
        <family val="3"/>
        <charset val="134"/>
      </rPr>
      <t>早餐成本</t>
    </r>
  </si>
  <si>
    <r>
      <t xml:space="preserve">B. </t>
    </r>
    <r>
      <rPr>
        <sz val="10"/>
        <rFont val="宋体"/>
        <family val="3"/>
        <charset val="134"/>
      </rPr>
      <t>餐饮其他成本</t>
    </r>
  </si>
  <si>
    <r>
      <t xml:space="preserve">A. </t>
    </r>
    <r>
      <rPr>
        <sz val="10"/>
        <rFont val="宋体"/>
        <family val="3"/>
        <charset val="134"/>
      </rPr>
      <t>早餐收入</t>
    </r>
  </si>
  <si>
    <r>
      <t xml:space="preserve">B. </t>
    </r>
    <r>
      <rPr>
        <sz val="10"/>
        <rFont val="宋体"/>
        <family val="3"/>
        <charset val="134"/>
      </rPr>
      <t>餐饮其他收入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</si>
</sst>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#,##0.00_);\(#,##0.00\)"/>
    <numFmt numFmtId="177" formatCode="_ * #,##0_ ;_ * \-#,##0_ ;_ * &quot;-&quot;??_ ;_ @_ "/>
  </numFmts>
  <fonts count="21" x14ac:knownFonts="1"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sz val="10"/>
      <color indexed="8"/>
      <name val="Calibri"/>
      <family val="2"/>
    </font>
    <font>
      <sz val="10"/>
      <color indexed="8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Calibri"/>
      <family val="2"/>
    </font>
    <font>
      <sz val="10"/>
      <color rgb="FF000000"/>
      <name val="宋体"/>
      <family val="3"/>
      <charset val="134"/>
    </font>
    <font>
      <b/>
      <sz val="10"/>
      <color rgb="FF000000"/>
      <name val="Calibri"/>
      <family val="2"/>
    </font>
    <font>
      <b/>
      <sz val="10"/>
      <color rgb="FF000000"/>
      <name val="微软雅黑"/>
      <family val="2"/>
      <charset val="134"/>
    </font>
    <font>
      <b/>
      <sz val="10"/>
      <color indexed="8"/>
      <name val="Calibri"/>
      <family val="2"/>
    </font>
    <font>
      <sz val="10"/>
      <color indexed="8"/>
      <name val="宋体"/>
      <family val="3"/>
      <charset val="134"/>
      <scheme val="minor"/>
    </font>
    <font>
      <sz val="10"/>
      <color rgb="FFFF0000"/>
      <name val="Calibri"/>
      <family val="2"/>
    </font>
    <font>
      <sz val="10"/>
      <color rgb="FFFF0000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Calibri"/>
      <family val="2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/>
    </xf>
    <xf numFmtId="0" fontId="5" fillId="0" borderId="5" xfId="3" applyFont="1" applyBorder="1">
      <alignment vertical="center"/>
    </xf>
    <xf numFmtId="0" fontId="5" fillId="0" borderId="6" xfId="3" applyFont="1" applyBorder="1">
      <alignment vertical="center"/>
    </xf>
    <xf numFmtId="0" fontId="7" fillId="0" borderId="6" xfId="3" applyFont="1" applyBorder="1">
      <alignment vertical="center"/>
    </xf>
    <xf numFmtId="49" fontId="10" fillId="3" borderId="7" xfId="0" applyNumberFormat="1" applyFont="1" applyFill="1" applyBorder="1" applyAlignment="1">
      <alignment horizontal="left" vertical="center" shrinkToFit="1"/>
    </xf>
    <xf numFmtId="176" fontId="12" fillId="0" borderId="6" xfId="1" applyNumberFormat="1" applyFont="1" applyBorder="1">
      <alignment vertical="center"/>
    </xf>
    <xf numFmtId="9" fontId="12" fillId="0" borderId="6" xfId="2" applyNumberFormat="1" applyFont="1" applyBorder="1">
      <alignment vertical="center"/>
    </xf>
    <xf numFmtId="177" fontId="12" fillId="0" borderId="6" xfId="1" applyNumberFormat="1" applyFont="1" applyBorder="1">
      <alignment vertical="center"/>
    </xf>
    <xf numFmtId="43" fontId="5" fillId="0" borderId="6" xfId="1" applyFont="1" applyBorder="1">
      <alignment vertical="center"/>
    </xf>
    <xf numFmtId="43" fontId="5" fillId="0" borderId="8" xfId="1" applyFont="1" applyBorder="1">
      <alignment vertical="center"/>
    </xf>
    <xf numFmtId="0" fontId="13" fillId="0" borderId="9" xfId="0" applyFont="1" applyBorder="1">
      <alignment vertical="center"/>
    </xf>
    <xf numFmtId="0" fontId="14" fillId="0" borderId="6" xfId="0" applyFont="1" applyBorder="1">
      <alignment vertical="center"/>
    </xf>
    <xf numFmtId="176" fontId="5" fillId="0" borderId="6" xfId="1" applyNumberFormat="1" applyFont="1" applyBorder="1">
      <alignment vertical="center"/>
    </xf>
    <xf numFmtId="9" fontId="5" fillId="0" borderId="6" xfId="2" applyNumberFormat="1" applyFont="1" applyBorder="1">
      <alignment vertical="center"/>
    </xf>
    <xf numFmtId="176" fontId="5" fillId="0" borderId="8" xfId="1" applyNumberFormat="1" applyFont="1" applyBorder="1">
      <alignment vertical="center"/>
    </xf>
    <xf numFmtId="176" fontId="5" fillId="0" borderId="6" xfId="0" applyNumberFormat="1" applyFont="1" applyFill="1" applyBorder="1" applyAlignment="1">
      <alignment horizontal="right" vertical="center"/>
    </xf>
    <xf numFmtId="176" fontId="5" fillId="0" borderId="8" xfId="0" applyNumberFormat="1" applyFont="1" applyFill="1" applyBorder="1" applyAlignment="1">
      <alignment horizontal="right" vertical="center"/>
    </xf>
    <xf numFmtId="10" fontId="5" fillId="0" borderId="6" xfId="2" applyNumberFormat="1" applyFont="1" applyFill="1" applyBorder="1" applyAlignment="1">
      <alignment horizontal="right" vertical="center"/>
    </xf>
    <xf numFmtId="10" fontId="5" fillId="0" borderId="6" xfId="2" applyNumberFormat="1" applyFont="1" applyBorder="1">
      <alignment vertical="center"/>
    </xf>
    <xf numFmtId="10" fontId="12" fillId="0" borderId="6" xfId="2" applyNumberFormat="1" applyFont="1" applyBorder="1">
      <alignment vertical="center"/>
    </xf>
    <xf numFmtId="10" fontId="5" fillId="0" borderId="8" xfId="2" applyNumberFormat="1" applyFont="1" applyFill="1" applyBorder="1" applyAlignment="1">
      <alignment horizontal="right" vertical="center"/>
    </xf>
    <xf numFmtId="49" fontId="10" fillId="0" borderId="7" xfId="0" applyNumberFormat="1" applyFont="1" applyFill="1" applyBorder="1" applyAlignment="1">
      <alignment horizontal="left" vertical="center" shrinkToFit="1"/>
    </xf>
    <xf numFmtId="176" fontId="12" fillId="0" borderId="6" xfId="0" applyNumberFormat="1" applyFont="1" applyFill="1" applyBorder="1" applyAlignment="1">
      <alignment horizontal="right" vertical="center"/>
    </xf>
    <xf numFmtId="176" fontId="12" fillId="0" borderId="8" xfId="0" applyNumberFormat="1" applyFont="1" applyFill="1" applyBorder="1" applyAlignment="1">
      <alignment horizontal="right" vertical="center"/>
    </xf>
    <xf numFmtId="176" fontId="12" fillId="4" borderId="6" xfId="1" applyNumberFormat="1" applyFont="1" applyFill="1" applyBorder="1">
      <alignment vertical="center"/>
    </xf>
    <xf numFmtId="9" fontId="12" fillId="4" borderId="6" xfId="2" applyNumberFormat="1" applyFont="1" applyFill="1" applyBorder="1">
      <alignment vertical="center"/>
    </xf>
    <xf numFmtId="176" fontId="12" fillId="4" borderId="8" xfId="1" applyNumberFormat="1" applyFont="1" applyFill="1" applyBorder="1">
      <alignment vertical="center"/>
    </xf>
    <xf numFmtId="176" fontId="12" fillId="4" borderId="6" xfId="0" applyNumberFormat="1" applyFont="1" applyFill="1" applyBorder="1" applyAlignment="1">
      <alignment horizontal="right" vertical="center"/>
    </xf>
    <xf numFmtId="176" fontId="12" fillId="4" borderId="8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12" fillId="0" borderId="6" xfId="0" applyFont="1" applyBorder="1">
      <alignment vertical="center"/>
    </xf>
    <xf numFmtId="176" fontId="5" fillId="4" borderId="6" xfId="1" applyNumberFormat="1" applyFont="1" applyFill="1" applyBorder="1">
      <alignment vertical="center"/>
    </xf>
    <xf numFmtId="176" fontId="5" fillId="4" borderId="8" xfId="1" applyNumberFormat="1" applyFont="1" applyFill="1" applyBorder="1">
      <alignment vertical="center"/>
    </xf>
    <xf numFmtId="0" fontId="5" fillId="0" borderId="6" xfId="0" applyFont="1" applyBorder="1">
      <alignment vertical="center"/>
    </xf>
    <xf numFmtId="0" fontId="5" fillId="5" borderId="6" xfId="0" applyFont="1" applyFill="1" applyBorder="1">
      <alignment vertical="center"/>
    </xf>
    <xf numFmtId="176" fontId="12" fillId="0" borderId="6" xfId="1" applyNumberFormat="1" applyFont="1" applyFill="1" applyBorder="1">
      <alignment vertical="center"/>
    </xf>
    <xf numFmtId="9" fontId="12" fillId="0" borderId="6" xfId="2" applyNumberFormat="1" applyFont="1" applyFill="1" applyBorder="1">
      <alignment vertical="center"/>
    </xf>
    <xf numFmtId="10" fontId="10" fillId="0" borderId="6" xfId="2" applyNumberFormat="1" applyFont="1" applyFill="1" applyBorder="1" applyAlignment="1">
      <alignment vertical="center"/>
    </xf>
    <xf numFmtId="10" fontId="10" fillId="0" borderId="6" xfId="2" applyNumberFormat="1" applyFont="1" applyBorder="1">
      <alignment vertical="center"/>
    </xf>
    <xf numFmtId="10" fontId="10" fillId="0" borderId="8" xfId="2" applyNumberFormat="1" applyFont="1" applyFill="1" applyBorder="1" applyAlignment="1">
      <alignment vertical="center"/>
    </xf>
    <xf numFmtId="0" fontId="5" fillId="0" borderId="10" xfId="3" applyFont="1" applyBorder="1">
      <alignment vertical="center"/>
    </xf>
    <xf numFmtId="0" fontId="5" fillId="0" borderId="11" xfId="3" applyFont="1" applyBorder="1">
      <alignment vertical="center"/>
    </xf>
    <xf numFmtId="176" fontId="12" fillId="0" borderId="11" xfId="0" applyNumberFormat="1" applyFont="1" applyFill="1" applyBorder="1" applyAlignment="1">
      <alignment horizontal="right" vertical="center"/>
    </xf>
    <xf numFmtId="9" fontId="12" fillId="0" borderId="11" xfId="2" applyNumberFormat="1" applyFont="1" applyBorder="1">
      <alignment vertical="center"/>
    </xf>
    <xf numFmtId="176" fontId="12" fillId="0" borderId="12" xfId="0" applyNumberFormat="1" applyFont="1" applyFill="1" applyBorder="1" applyAlignment="1">
      <alignment horizontal="right" vertical="center"/>
    </xf>
    <xf numFmtId="0" fontId="13" fillId="0" borderId="13" xfId="0" applyFont="1" applyBorder="1">
      <alignment vertical="center"/>
    </xf>
    <xf numFmtId="0" fontId="0" fillId="0" borderId="0" xfId="0" applyFont="1">
      <alignment vertical="center"/>
    </xf>
    <xf numFmtId="0" fontId="19" fillId="0" borderId="6" xfId="0" applyFont="1" applyBorder="1">
      <alignment vertical="center"/>
    </xf>
  </cellXfs>
  <cellStyles count="4">
    <cellStyle name="百分比" xfId="2" builtinId="5"/>
    <cellStyle name="常规" xfId="0" builtinId="0"/>
    <cellStyle name="常规 2" xfId="3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J122"/>
  <sheetViews>
    <sheetView tabSelected="1" workbookViewId="0">
      <pane xSplit="5" ySplit="1" topLeftCell="F89" activePane="bottomRight" state="frozen"/>
      <selection pane="topRight"/>
      <selection pane="bottomLeft"/>
      <selection pane="bottomRight" activeCell="F113" sqref="F113"/>
    </sheetView>
  </sheetViews>
  <sheetFormatPr defaultColWidth="9" defaultRowHeight="13.5" x14ac:dyDescent="0.15"/>
  <cols>
    <col min="1" max="1" width="8.75" style="50" customWidth="1"/>
    <col min="2" max="2" width="10.375" style="50" customWidth="1"/>
    <col min="3" max="3" width="19.125" style="50" customWidth="1"/>
    <col min="4" max="4" width="34.375" customWidth="1"/>
    <col min="5" max="5" width="9.375" customWidth="1"/>
    <col min="6" max="30" width="12.375" customWidth="1"/>
    <col min="31" max="31" width="12.375" style="33" customWidth="1"/>
    <col min="32" max="35" width="12.125" customWidth="1"/>
    <col min="36" max="36" width="60.25" customWidth="1"/>
  </cols>
  <sheetData>
    <row r="1" spans="1:36" ht="1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4" t="s">
        <v>35</v>
      </c>
    </row>
    <row r="2" spans="1:36" ht="16.5" x14ac:dyDescent="0.15">
      <c r="A2" s="5" t="s">
        <v>36</v>
      </c>
      <c r="B2" s="6" t="s">
        <v>37</v>
      </c>
      <c r="C2" s="7" t="s">
        <v>38</v>
      </c>
      <c r="D2" s="8" t="s">
        <v>39</v>
      </c>
      <c r="E2" s="6">
        <v>2025</v>
      </c>
      <c r="F2" s="9">
        <v>31</v>
      </c>
      <c r="G2" s="10"/>
      <c r="H2" s="11">
        <v>28</v>
      </c>
      <c r="I2" s="11"/>
      <c r="J2" s="11">
        <v>31</v>
      </c>
      <c r="K2" s="11"/>
      <c r="L2" s="11">
        <v>30</v>
      </c>
      <c r="M2" s="11"/>
      <c r="N2" s="11">
        <v>31</v>
      </c>
      <c r="O2" s="11"/>
      <c r="P2" s="11">
        <v>30</v>
      </c>
      <c r="Q2" s="11"/>
      <c r="R2" s="11">
        <v>31</v>
      </c>
      <c r="S2" s="11"/>
      <c r="T2" s="11">
        <v>31</v>
      </c>
      <c r="U2" s="11"/>
      <c r="V2" s="11">
        <v>30</v>
      </c>
      <c r="W2" s="11"/>
      <c r="X2" s="11">
        <v>31</v>
      </c>
      <c r="Y2" s="11"/>
      <c r="Z2" s="11">
        <v>30</v>
      </c>
      <c r="AA2" s="11"/>
      <c r="AB2" s="11">
        <v>31</v>
      </c>
      <c r="AC2" s="11"/>
      <c r="AD2" s="11">
        <f>SUM(F2,H2,J2,L2,N2,P2,R2,T2,V2,X2,Z2,AB2)</f>
        <v>365</v>
      </c>
      <c r="AE2" s="11"/>
      <c r="AF2" s="12">
        <f>SUM(F2,H2,J2)</f>
        <v>90</v>
      </c>
      <c r="AG2" s="12">
        <f>SUM(L2,N2,P2)</f>
        <v>91</v>
      </c>
      <c r="AH2" s="12">
        <f>SUM(R2,T2,V2)</f>
        <v>92</v>
      </c>
      <c r="AI2" s="13">
        <f>SUM(X2,Z2,AB2)</f>
        <v>92</v>
      </c>
      <c r="AJ2" s="14" t="s">
        <v>40</v>
      </c>
    </row>
    <row r="3" spans="1:36" x14ac:dyDescent="0.15">
      <c r="A3" s="5" t="s">
        <v>36</v>
      </c>
      <c r="B3" s="6" t="s">
        <v>37</v>
      </c>
      <c r="C3" s="7" t="s">
        <v>38</v>
      </c>
      <c r="D3" s="15" t="s">
        <v>41</v>
      </c>
      <c r="E3" s="6">
        <v>2025</v>
      </c>
      <c r="F3" s="16"/>
      <c r="G3" s="17"/>
      <c r="H3" s="16"/>
      <c r="I3" s="17"/>
      <c r="J3" s="16"/>
      <c r="K3" s="17"/>
      <c r="L3" s="16"/>
      <c r="M3" s="17"/>
      <c r="N3" s="16"/>
      <c r="O3" s="17"/>
      <c r="P3" s="16"/>
      <c r="Q3" s="17"/>
      <c r="R3" s="16"/>
      <c r="S3" s="17"/>
      <c r="T3" s="16"/>
      <c r="U3" s="17"/>
      <c r="V3" s="16"/>
      <c r="W3" s="17"/>
      <c r="X3" s="16"/>
      <c r="Y3" s="17"/>
      <c r="Z3" s="16"/>
      <c r="AA3" s="17"/>
      <c r="AB3" s="16"/>
      <c r="AC3" s="17"/>
      <c r="AD3" s="16">
        <f>AB3</f>
        <v>0</v>
      </c>
      <c r="AE3" s="10"/>
      <c r="AF3" s="16">
        <f>J3</f>
        <v>0</v>
      </c>
      <c r="AG3" s="16">
        <f>P3</f>
        <v>0</v>
      </c>
      <c r="AH3" s="16">
        <f>V3</f>
        <v>0</v>
      </c>
      <c r="AI3" s="18">
        <f>AB3</f>
        <v>0</v>
      </c>
      <c r="AJ3" s="14" t="s">
        <v>42</v>
      </c>
    </row>
    <row r="4" spans="1:36" x14ac:dyDescent="0.15">
      <c r="A4" s="5" t="s">
        <v>36</v>
      </c>
      <c r="B4" s="6" t="s">
        <v>37</v>
      </c>
      <c r="C4" s="7" t="s">
        <v>38</v>
      </c>
      <c r="D4" s="15" t="s">
        <v>43</v>
      </c>
      <c r="E4" s="6">
        <v>2025</v>
      </c>
      <c r="F4" s="19"/>
      <c r="G4" s="17"/>
      <c r="H4" s="19"/>
      <c r="I4" s="17"/>
      <c r="J4" s="19"/>
      <c r="K4" s="17"/>
      <c r="L4" s="19"/>
      <c r="M4" s="17"/>
      <c r="N4" s="19"/>
      <c r="O4" s="17"/>
      <c r="P4" s="19"/>
      <c r="Q4" s="17"/>
      <c r="R4" s="19"/>
      <c r="S4" s="17"/>
      <c r="T4" s="19"/>
      <c r="U4" s="17"/>
      <c r="V4" s="19"/>
      <c r="W4" s="17"/>
      <c r="X4" s="19"/>
      <c r="Y4" s="17"/>
      <c r="Z4" s="19"/>
      <c r="AA4" s="17"/>
      <c r="AB4" s="19"/>
      <c r="AC4" s="17"/>
      <c r="AD4" s="19">
        <f>IFERROR(SUM(F2*F3*F4*F5,H2*H3*H4*H5,J2*J3*J4*J5,L2*L3*L4*L5,N2*N3*N4*N5,P2*P3*P4*P5,R2*R3*R4*R5,T2*T3*T4*T5,V2*V3*V4*V5,X2*X3*X4*X5,Z2*Z3*Z4*Z5,AB2*AB3*AB4*AB5)/SUM(F2*F3*F5,H2*H3*H5,J2*J3*J5,L2*L3*L5,N2*N3*N5,P2*P3*P5,R2*R3*R5,T2*T3*T5,V2*V3*V5,X2*X3*X5,Z2*Z3*Z5,AB2*AB3*AB5),0)</f>
        <v>0</v>
      </c>
      <c r="AE4" s="10"/>
      <c r="AF4" s="19">
        <f>IFERROR(AF10/AF8,0)</f>
        <v>0</v>
      </c>
      <c r="AG4" s="19">
        <f>IFERROR(AG10/AG8,0)</f>
        <v>0</v>
      </c>
      <c r="AH4" s="19">
        <f>IFERROR(AH10/AH8,0)</f>
        <v>0</v>
      </c>
      <c r="AI4" s="20">
        <f>IFERROR(AI10/AI8,0)</f>
        <v>0</v>
      </c>
      <c r="AJ4" s="14" t="s">
        <v>42</v>
      </c>
    </row>
    <row r="5" spans="1:36" x14ac:dyDescent="0.15">
      <c r="A5" s="5" t="s">
        <v>36</v>
      </c>
      <c r="B5" s="6" t="s">
        <v>37</v>
      </c>
      <c r="C5" s="7" t="s">
        <v>38</v>
      </c>
      <c r="D5" s="15" t="s">
        <v>44</v>
      </c>
      <c r="E5" s="6">
        <v>2025</v>
      </c>
      <c r="F5" s="21"/>
      <c r="G5" s="22"/>
      <c r="H5" s="21"/>
      <c r="I5" s="22"/>
      <c r="J5" s="21"/>
      <c r="K5" s="22"/>
      <c r="L5" s="21"/>
      <c r="M5" s="22"/>
      <c r="N5" s="21"/>
      <c r="O5" s="22"/>
      <c r="P5" s="21"/>
      <c r="Q5" s="22"/>
      <c r="R5" s="21"/>
      <c r="S5" s="22"/>
      <c r="T5" s="21"/>
      <c r="U5" s="22"/>
      <c r="V5" s="21"/>
      <c r="W5" s="22"/>
      <c r="X5" s="21"/>
      <c r="Y5" s="22"/>
      <c r="Z5" s="21"/>
      <c r="AA5" s="22"/>
      <c r="AB5" s="21"/>
      <c r="AC5" s="22"/>
      <c r="AD5" s="21">
        <f>IFERROR(SUM(F2*F3*F5,H2*H3*H5,J2*J3*J5,L2*L3*L5,N2*N3*N5,P2*P3*P5,R2*R3*R5,T2*T3*T5,V2*V3*V5,X2*X3*X5,Z2*Z3*Z5,AB2*AB3*AB5)/SUM(F2*F3,H2*H3,J2*J3,L2*L3,N2*N3,P2*P3,R2*R3,T2*T3,V2*V3,X2*X3,Z2*Z3,AB2*AB3),0)</f>
        <v>0</v>
      </c>
      <c r="AE5" s="23"/>
      <c r="AF5" s="21">
        <f>IFERROR(AF8/AF7,0)</f>
        <v>0</v>
      </c>
      <c r="AG5" s="21">
        <f>IFERROR(AG8/AG7,0)</f>
        <v>0</v>
      </c>
      <c r="AH5" s="21">
        <f>IFERROR(AH8/AH7,0)</f>
        <v>0</v>
      </c>
      <c r="AI5" s="24">
        <f>IFERROR(AI8/AI7,0)</f>
        <v>0</v>
      </c>
      <c r="AJ5" s="14" t="s">
        <v>42</v>
      </c>
    </row>
    <row r="6" spans="1:36" ht="16.5" x14ac:dyDescent="0.15">
      <c r="A6" s="5" t="s">
        <v>36</v>
      </c>
      <c r="B6" s="6" t="s">
        <v>37</v>
      </c>
      <c r="C6" s="7" t="s">
        <v>38</v>
      </c>
      <c r="D6" s="25" t="s">
        <v>45</v>
      </c>
      <c r="E6" s="6">
        <v>2025</v>
      </c>
      <c r="F6" s="26">
        <f t="shared" ref="F6:J6" si="0">IFERROR(F4*F5,"")</f>
        <v>0</v>
      </c>
      <c r="G6" s="17"/>
      <c r="H6" s="26">
        <f t="shared" si="0"/>
        <v>0</v>
      </c>
      <c r="I6" s="17"/>
      <c r="J6" s="26">
        <f t="shared" si="0"/>
        <v>0</v>
      </c>
      <c r="K6" s="17"/>
      <c r="L6" s="26">
        <f t="shared" ref="L6:P6" si="1">IFERROR(L4*L5,"")</f>
        <v>0</v>
      </c>
      <c r="M6" s="17"/>
      <c r="N6" s="26">
        <f t="shared" si="1"/>
        <v>0</v>
      </c>
      <c r="O6" s="17"/>
      <c r="P6" s="26">
        <f t="shared" si="1"/>
        <v>0</v>
      </c>
      <c r="Q6" s="17"/>
      <c r="R6" s="26">
        <f t="shared" ref="R6:V6" si="2">IFERROR(R4*R5,"")</f>
        <v>0</v>
      </c>
      <c r="S6" s="17"/>
      <c r="T6" s="26">
        <f t="shared" si="2"/>
        <v>0</v>
      </c>
      <c r="U6" s="17"/>
      <c r="V6" s="26">
        <f t="shared" si="2"/>
        <v>0</v>
      </c>
      <c r="W6" s="17"/>
      <c r="X6" s="26">
        <f t="shared" ref="X6:AB6" si="3">IFERROR(X4*X5,"")</f>
        <v>0</v>
      </c>
      <c r="Y6" s="17"/>
      <c r="Z6" s="26">
        <f t="shared" si="3"/>
        <v>0</v>
      </c>
      <c r="AA6" s="17"/>
      <c r="AB6" s="26">
        <f t="shared" si="3"/>
        <v>0</v>
      </c>
      <c r="AC6" s="17"/>
      <c r="AD6" s="26">
        <f t="shared" ref="AD6:AI6" si="4">AD4*AD5</f>
        <v>0</v>
      </c>
      <c r="AE6" s="10"/>
      <c r="AF6" s="26">
        <f t="shared" si="4"/>
        <v>0</v>
      </c>
      <c r="AG6" s="26">
        <f t="shared" si="4"/>
        <v>0</v>
      </c>
      <c r="AH6" s="26">
        <f t="shared" si="4"/>
        <v>0</v>
      </c>
      <c r="AI6" s="27">
        <f t="shared" si="4"/>
        <v>0</v>
      </c>
      <c r="AJ6" s="14" t="s">
        <v>46</v>
      </c>
    </row>
    <row r="7" spans="1:36" ht="16.5" x14ac:dyDescent="0.15">
      <c r="A7" s="5" t="s">
        <v>36</v>
      </c>
      <c r="B7" s="6" t="s">
        <v>37</v>
      </c>
      <c r="C7" s="7" t="s">
        <v>38</v>
      </c>
      <c r="D7" s="25" t="s">
        <v>47</v>
      </c>
      <c r="E7" s="6">
        <v>2025</v>
      </c>
      <c r="F7" s="28">
        <f t="shared" ref="F7:J7" si="5">F2*F3</f>
        <v>0</v>
      </c>
      <c r="G7" s="29"/>
      <c r="H7" s="28">
        <f t="shared" si="5"/>
        <v>0</v>
      </c>
      <c r="I7" s="29"/>
      <c r="J7" s="28">
        <f t="shared" si="5"/>
        <v>0</v>
      </c>
      <c r="K7" s="29"/>
      <c r="L7" s="28">
        <f t="shared" ref="L7:P7" si="6">L2*L3</f>
        <v>0</v>
      </c>
      <c r="M7" s="29"/>
      <c r="N7" s="28">
        <f t="shared" si="6"/>
        <v>0</v>
      </c>
      <c r="O7" s="29"/>
      <c r="P7" s="9">
        <f t="shared" si="6"/>
        <v>0</v>
      </c>
      <c r="Q7" s="10"/>
      <c r="R7" s="9">
        <f t="shared" ref="R7:V7" si="7">R2*R3</f>
        <v>0</v>
      </c>
      <c r="S7" s="10"/>
      <c r="T7" s="9">
        <f t="shared" si="7"/>
        <v>0</v>
      </c>
      <c r="U7" s="10"/>
      <c r="V7" s="9">
        <f t="shared" si="7"/>
        <v>0</v>
      </c>
      <c r="W7" s="10"/>
      <c r="X7" s="9">
        <f t="shared" ref="X7:AB7" si="8">X2*X3</f>
        <v>0</v>
      </c>
      <c r="Y7" s="10"/>
      <c r="Z7" s="9">
        <f t="shared" si="8"/>
        <v>0</v>
      </c>
      <c r="AA7" s="10"/>
      <c r="AB7" s="9">
        <f t="shared" si="8"/>
        <v>0</v>
      </c>
      <c r="AC7" s="10"/>
      <c r="AD7" s="9">
        <f>SUM(F7,H7,J7,L7,N7,P7,R7,T7,V7,X7,Z7,AB7)</f>
        <v>0</v>
      </c>
      <c r="AE7" s="10"/>
      <c r="AF7" s="28">
        <f>SUM(F7,H7,J7)</f>
        <v>0</v>
      </c>
      <c r="AG7" s="28">
        <f>SUM(L7,N7,P7)</f>
        <v>0</v>
      </c>
      <c r="AH7" s="28">
        <f>SUM(R7,T7,V7)</f>
        <v>0</v>
      </c>
      <c r="AI7" s="30">
        <f>SUM(X7,Z7,AB7)</f>
        <v>0</v>
      </c>
      <c r="AJ7" s="14" t="s">
        <v>46</v>
      </c>
    </row>
    <row r="8" spans="1:36" ht="16.5" x14ac:dyDescent="0.15">
      <c r="A8" s="5" t="s">
        <v>36</v>
      </c>
      <c r="B8" s="6" t="s">
        <v>37</v>
      </c>
      <c r="C8" s="7" t="s">
        <v>38</v>
      </c>
      <c r="D8" s="25" t="s">
        <v>48</v>
      </c>
      <c r="E8" s="6">
        <v>2025</v>
      </c>
      <c r="F8" s="28">
        <f t="shared" ref="F8:J8" si="9">F7*F5</f>
        <v>0</v>
      </c>
      <c r="G8" s="29"/>
      <c r="H8" s="28">
        <f t="shared" si="9"/>
        <v>0</v>
      </c>
      <c r="I8" s="29"/>
      <c r="J8" s="28">
        <f t="shared" si="9"/>
        <v>0</v>
      </c>
      <c r="K8" s="29"/>
      <c r="L8" s="28">
        <f t="shared" ref="L8:P8" si="10">L7*L5</f>
        <v>0</v>
      </c>
      <c r="M8" s="29"/>
      <c r="N8" s="28">
        <f t="shared" si="10"/>
        <v>0</v>
      </c>
      <c r="O8" s="29"/>
      <c r="P8" s="9">
        <f t="shared" si="10"/>
        <v>0</v>
      </c>
      <c r="Q8" s="10"/>
      <c r="R8" s="9">
        <f t="shared" ref="R8:V8" si="11">R7*R5</f>
        <v>0</v>
      </c>
      <c r="S8" s="10"/>
      <c r="T8" s="9">
        <f t="shared" si="11"/>
        <v>0</v>
      </c>
      <c r="U8" s="10"/>
      <c r="V8" s="9">
        <f t="shared" si="11"/>
        <v>0</v>
      </c>
      <c r="W8" s="10"/>
      <c r="X8" s="9">
        <f t="shared" ref="X8:AB8" si="12">X7*X5</f>
        <v>0</v>
      </c>
      <c r="Y8" s="10"/>
      <c r="Z8" s="9">
        <f t="shared" si="12"/>
        <v>0</v>
      </c>
      <c r="AA8" s="10"/>
      <c r="AB8" s="9">
        <f t="shared" si="12"/>
        <v>0</v>
      </c>
      <c r="AC8" s="10"/>
      <c r="AD8" s="9">
        <f>SUM(F8,H8,J8,L8,N8,P8,R8,T8,V8,X8,Z8,AB8)</f>
        <v>0</v>
      </c>
      <c r="AE8" s="10"/>
      <c r="AF8" s="28">
        <f>SUM(F8,H8,J8)</f>
        <v>0</v>
      </c>
      <c r="AG8" s="28">
        <f>SUM(L8,N8,P8)</f>
        <v>0</v>
      </c>
      <c r="AH8" s="28">
        <f>SUM(R8,T8,V8)</f>
        <v>0</v>
      </c>
      <c r="AI8" s="30">
        <f>SUM(X8,Z8,AB8)</f>
        <v>0</v>
      </c>
      <c r="AJ8" s="14" t="s">
        <v>46</v>
      </c>
    </row>
    <row r="9" spans="1:36" s="33" customFormat="1" ht="16.5" x14ac:dyDescent="0.15">
      <c r="A9" s="5" t="s">
        <v>36</v>
      </c>
      <c r="B9" s="6" t="s">
        <v>37</v>
      </c>
      <c r="C9" s="7" t="s">
        <v>38</v>
      </c>
      <c r="D9" s="8" t="s">
        <v>49</v>
      </c>
      <c r="E9" s="6">
        <v>2025</v>
      </c>
      <c r="F9" s="26">
        <f t="shared" ref="F9:J9" si="13">SUM(F10+F11)</f>
        <v>0</v>
      </c>
      <c r="G9" s="17"/>
      <c r="H9" s="26">
        <f t="shared" si="13"/>
        <v>0</v>
      </c>
      <c r="I9" s="17"/>
      <c r="J9" s="26">
        <f t="shared" si="13"/>
        <v>0</v>
      </c>
      <c r="K9" s="17"/>
      <c r="L9" s="26">
        <f t="shared" ref="L9:P9" si="14">SUM(L10+L11)</f>
        <v>0</v>
      </c>
      <c r="M9" s="17"/>
      <c r="N9" s="26">
        <f t="shared" si="14"/>
        <v>0</v>
      </c>
      <c r="O9" s="17"/>
      <c r="P9" s="26">
        <f t="shared" si="14"/>
        <v>0</v>
      </c>
      <c r="Q9" s="17"/>
      <c r="R9" s="26">
        <f t="shared" ref="R9:V9" si="15">SUM(R10+R11)</f>
        <v>0</v>
      </c>
      <c r="S9" s="17"/>
      <c r="T9" s="26">
        <f t="shared" si="15"/>
        <v>0</v>
      </c>
      <c r="U9" s="17"/>
      <c r="V9" s="26">
        <f t="shared" si="15"/>
        <v>0</v>
      </c>
      <c r="W9" s="17"/>
      <c r="X9" s="26">
        <f t="shared" ref="X9:AB9" si="16">SUM(X10+X11)</f>
        <v>0</v>
      </c>
      <c r="Y9" s="17"/>
      <c r="Z9" s="26">
        <f t="shared" si="16"/>
        <v>0</v>
      </c>
      <c r="AA9" s="17"/>
      <c r="AB9" s="26">
        <f t="shared" si="16"/>
        <v>0</v>
      </c>
      <c r="AC9" s="17"/>
      <c r="AD9" s="26">
        <f>SUM(AD10+AD11)</f>
        <v>0</v>
      </c>
      <c r="AE9" s="10"/>
      <c r="AF9" s="31">
        <f>SUM(AF10+AF11)</f>
        <v>0</v>
      </c>
      <c r="AG9" s="31">
        <f>SUM(AG10+AG11)</f>
        <v>0</v>
      </c>
      <c r="AH9" s="31">
        <f>SUM(AH10+AH11)</f>
        <v>0</v>
      </c>
      <c r="AI9" s="32">
        <f>SUM(AI10+AI11)</f>
        <v>0</v>
      </c>
      <c r="AJ9" s="14" t="s">
        <v>50</v>
      </c>
    </row>
    <row r="10" spans="1:36" ht="16.5" x14ac:dyDescent="0.15">
      <c r="A10" s="5" t="s">
        <v>36</v>
      </c>
      <c r="B10" s="6" t="s">
        <v>37</v>
      </c>
      <c r="C10" s="7" t="s">
        <v>38</v>
      </c>
      <c r="D10" s="8" t="s">
        <v>51</v>
      </c>
      <c r="E10" s="6">
        <v>2025</v>
      </c>
      <c r="F10" s="9">
        <f t="shared" ref="F10:J10" si="17">IFERROR((F2*F3*F6),0)</f>
        <v>0</v>
      </c>
      <c r="G10" s="10" t="str">
        <f>IFERROR(F10/F$9,"")</f>
        <v/>
      </c>
      <c r="H10" s="9">
        <f t="shared" si="17"/>
        <v>0</v>
      </c>
      <c r="I10" s="10" t="str">
        <f>IFERROR(H10/H$9,"")</f>
        <v/>
      </c>
      <c r="J10" s="9">
        <f t="shared" si="17"/>
        <v>0</v>
      </c>
      <c r="K10" s="10" t="str">
        <f>IFERROR(J10/J$9,"")</f>
        <v/>
      </c>
      <c r="L10" s="9">
        <f t="shared" ref="L10:P10" si="18">IFERROR((L2*L3*L6),0)</f>
        <v>0</v>
      </c>
      <c r="M10" s="10" t="str">
        <f>IFERROR(L10/L$9,"")</f>
        <v/>
      </c>
      <c r="N10" s="9">
        <f t="shared" si="18"/>
        <v>0</v>
      </c>
      <c r="O10" s="10" t="str">
        <f>IFERROR(N10/N$9,"")</f>
        <v/>
      </c>
      <c r="P10" s="9">
        <f t="shared" si="18"/>
        <v>0</v>
      </c>
      <c r="Q10" s="10" t="str">
        <f>IFERROR(P10/P$9,"")</f>
        <v/>
      </c>
      <c r="R10" s="9">
        <f t="shared" ref="R10:V10" si="19">IFERROR((R2*R3*R6),0)</f>
        <v>0</v>
      </c>
      <c r="S10" s="10" t="str">
        <f>IFERROR(R10/R$9,"")</f>
        <v/>
      </c>
      <c r="T10" s="9">
        <f t="shared" si="19"/>
        <v>0</v>
      </c>
      <c r="U10" s="10" t="str">
        <f>IFERROR(T10/T$9,"")</f>
        <v/>
      </c>
      <c r="V10" s="9">
        <f t="shared" si="19"/>
        <v>0</v>
      </c>
      <c r="W10" s="10" t="str">
        <f>IFERROR(V10/V$9,"")</f>
        <v/>
      </c>
      <c r="X10" s="9">
        <f t="shared" ref="X10:AB10" si="20">IFERROR((X2*X3*X6),0)</f>
        <v>0</v>
      </c>
      <c r="Y10" s="10" t="str">
        <f>IFERROR(X10/X$9,"")</f>
        <v/>
      </c>
      <c r="Z10" s="9">
        <f t="shared" si="20"/>
        <v>0</v>
      </c>
      <c r="AA10" s="10" t="str">
        <f>IFERROR(Z10/Z$9,"")</f>
        <v/>
      </c>
      <c r="AB10" s="9">
        <f t="shared" si="20"/>
        <v>0</v>
      </c>
      <c r="AC10" s="10" t="str">
        <f>IFERROR(AB10/AB$9,"")</f>
        <v/>
      </c>
      <c r="AD10" s="9">
        <f>SUM(F10,H10,J10,L10,N10,P10,R10,T10,V10,X10,Z10,AB10)</f>
        <v>0</v>
      </c>
      <c r="AE10" s="10" t="str">
        <f>IFERROR(AD10/AD$9,"")</f>
        <v/>
      </c>
      <c r="AF10" s="28">
        <f>SUM(F10,H10,J10)</f>
        <v>0</v>
      </c>
      <c r="AG10" s="28">
        <f>SUM(L10,N10,P10)</f>
        <v>0</v>
      </c>
      <c r="AH10" s="28">
        <f>SUM(R10,T10,V10)</f>
        <v>0</v>
      </c>
      <c r="AI10" s="30">
        <f>SUM(X10,Z10,AB10)</f>
        <v>0</v>
      </c>
      <c r="AJ10" s="14" t="s">
        <v>46</v>
      </c>
    </row>
    <row r="11" spans="1:36" ht="16.5" x14ac:dyDescent="0.15">
      <c r="A11" s="5" t="s">
        <v>36</v>
      </c>
      <c r="B11" s="6" t="s">
        <v>37</v>
      </c>
      <c r="C11" s="7" t="s">
        <v>38</v>
      </c>
      <c r="D11" s="8" t="s">
        <v>52</v>
      </c>
      <c r="E11" s="6">
        <v>2025</v>
      </c>
      <c r="F11" s="26">
        <f t="shared" ref="F11:J11" si="21">SUM(F12,F17:F23)</f>
        <v>0</v>
      </c>
      <c r="G11" s="10" t="str">
        <f>IFERROR(F11/F$9,"")</f>
        <v/>
      </c>
      <c r="H11" s="26">
        <f t="shared" si="21"/>
        <v>0</v>
      </c>
      <c r="I11" s="10" t="str">
        <f>IFERROR(H11/H$9,"")</f>
        <v/>
      </c>
      <c r="J11" s="26">
        <f t="shared" si="21"/>
        <v>0</v>
      </c>
      <c r="K11" s="10" t="str">
        <f>IFERROR(J11/J$9,"")</f>
        <v/>
      </c>
      <c r="L11" s="26">
        <f t="shared" ref="L11:P11" si="22">SUM(L12,L17:L23)</f>
        <v>0</v>
      </c>
      <c r="M11" s="10" t="str">
        <f>IFERROR(L11/L$9,"")</f>
        <v/>
      </c>
      <c r="N11" s="26">
        <f t="shared" si="22"/>
        <v>0</v>
      </c>
      <c r="O11" s="10" t="str">
        <f>IFERROR(N11/N$9,"")</f>
        <v/>
      </c>
      <c r="P11" s="26">
        <f t="shared" si="22"/>
        <v>0</v>
      </c>
      <c r="Q11" s="10" t="str">
        <f>IFERROR(P11/P$9,"")</f>
        <v/>
      </c>
      <c r="R11" s="26">
        <f t="shared" ref="R11:V11" si="23">SUM(R12,R17:R23)</f>
        <v>0</v>
      </c>
      <c r="S11" s="10" t="str">
        <f>IFERROR(R11/R$9,"")</f>
        <v/>
      </c>
      <c r="T11" s="26">
        <f t="shared" si="23"/>
        <v>0</v>
      </c>
      <c r="U11" s="10" t="str">
        <f>IFERROR(T11/T$9,"")</f>
        <v/>
      </c>
      <c r="V11" s="26">
        <f t="shared" si="23"/>
        <v>0</v>
      </c>
      <c r="W11" s="10" t="str">
        <f>IFERROR(V11/V$9,"")</f>
        <v/>
      </c>
      <c r="X11" s="26">
        <f t="shared" ref="X11:AB11" si="24">SUM(X12,X17:X23)</f>
        <v>0</v>
      </c>
      <c r="Y11" s="10" t="str">
        <f>IFERROR(X11/X$9,"")</f>
        <v/>
      </c>
      <c r="Z11" s="26">
        <f t="shared" si="24"/>
        <v>0</v>
      </c>
      <c r="AA11" s="10" t="str">
        <f>IFERROR(Z11/Z$9,"")</f>
        <v/>
      </c>
      <c r="AB11" s="26">
        <f t="shared" si="24"/>
        <v>0</v>
      </c>
      <c r="AC11" s="10" t="str">
        <f>IFERROR(AB11/AB$9,"")</f>
        <v/>
      </c>
      <c r="AD11" s="26">
        <f t="shared" ref="AD11:AI11" si="25">SUM(AD12,AD17:AD23)</f>
        <v>0</v>
      </c>
      <c r="AE11" s="10" t="str">
        <f>IFERROR(AD11/AD$9,"")</f>
        <v/>
      </c>
      <c r="AF11" s="31">
        <f t="shared" si="25"/>
        <v>0</v>
      </c>
      <c r="AG11" s="31">
        <f t="shared" si="25"/>
        <v>0</v>
      </c>
      <c r="AH11" s="31">
        <f t="shared" si="25"/>
        <v>0</v>
      </c>
      <c r="AI11" s="31">
        <f t="shared" si="25"/>
        <v>0</v>
      </c>
      <c r="AJ11" s="14" t="s">
        <v>50</v>
      </c>
    </row>
    <row r="12" spans="1:36" ht="16.5" x14ac:dyDescent="0.15">
      <c r="A12" s="5" t="s">
        <v>36</v>
      </c>
      <c r="B12" s="6" t="s">
        <v>37</v>
      </c>
      <c r="C12" s="7" t="s">
        <v>38</v>
      </c>
      <c r="D12" s="8" t="s">
        <v>53</v>
      </c>
      <c r="E12" s="6">
        <v>2025</v>
      </c>
      <c r="F12" s="26">
        <f>SUM(F13+F16)</f>
        <v>0</v>
      </c>
      <c r="G12" s="10" t="str">
        <f>IFERROR(F12/F$9,"")</f>
        <v/>
      </c>
      <c r="H12" s="26">
        <f>SUM(H13+H16)</f>
        <v>0</v>
      </c>
      <c r="I12" s="10" t="str">
        <f>IFERROR(H12/H$9,"")</f>
        <v/>
      </c>
      <c r="J12" s="26">
        <f>SUM(J13+J16)</f>
        <v>0</v>
      </c>
      <c r="K12" s="10" t="str">
        <f>IFERROR(J12/J$9,"")</f>
        <v/>
      </c>
      <c r="L12" s="26">
        <f>SUM(L13+L16)</f>
        <v>0</v>
      </c>
      <c r="M12" s="10" t="str">
        <f>IFERROR(L12/L$9,"")</f>
        <v/>
      </c>
      <c r="N12" s="26">
        <f>SUM(N13+N16)</f>
        <v>0</v>
      </c>
      <c r="O12" s="10" t="str">
        <f>IFERROR(N12/N$9,"")</f>
        <v/>
      </c>
      <c r="P12" s="26">
        <f>SUM(P13+P16)</f>
        <v>0</v>
      </c>
      <c r="Q12" s="10" t="str">
        <f>IFERROR(P12/P$9,"")</f>
        <v/>
      </c>
      <c r="R12" s="26">
        <f>SUM(R13+R16)</f>
        <v>0</v>
      </c>
      <c r="S12" s="10" t="str">
        <f>IFERROR(R12/R$9,"")</f>
        <v/>
      </c>
      <c r="T12" s="26">
        <f>SUM(T13+T16)</f>
        <v>0</v>
      </c>
      <c r="U12" s="10" t="str">
        <f>IFERROR(T12/T$9,"")</f>
        <v/>
      </c>
      <c r="V12" s="26">
        <f>SUM(V13+V16)</f>
        <v>0</v>
      </c>
      <c r="W12" s="10" t="str">
        <f>IFERROR(V12/V$9,"")</f>
        <v/>
      </c>
      <c r="X12" s="26">
        <f>SUM(X13+X16)</f>
        <v>0</v>
      </c>
      <c r="Y12" s="10" t="str">
        <f>IFERROR(X12/X$9,"")</f>
        <v/>
      </c>
      <c r="Z12" s="26">
        <f>SUM(Z13+Z16)</f>
        <v>0</v>
      </c>
      <c r="AA12" s="10" t="str">
        <f>IFERROR(Z12/Z$9,"")</f>
        <v/>
      </c>
      <c r="AB12" s="26">
        <f>SUM(AB13+AB16)</f>
        <v>0</v>
      </c>
      <c r="AC12" s="10" t="str">
        <f>IFERROR(AB12/AB$9,"")</f>
        <v/>
      </c>
      <c r="AD12" s="26">
        <f>SUM(AD13+AD16)</f>
        <v>0</v>
      </c>
      <c r="AE12" s="10" t="str">
        <f>IFERROR(AD12/AD$9,"")</f>
        <v/>
      </c>
      <c r="AF12" s="31">
        <f>SUM(AF16,AF13)</f>
        <v>0</v>
      </c>
      <c r="AG12" s="31">
        <f>SUM(AG16,AG13)</f>
        <v>0</v>
      </c>
      <c r="AH12" s="31">
        <f>SUM(AH16,AH13)</f>
        <v>0</v>
      </c>
      <c r="AI12" s="31">
        <f>SUM(AI16,AI13)</f>
        <v>0</v>
      </c>
      <c r="AJ12" s="14" t="s">
        <v>50</v>
      </c>
    </row>
    <row r="13" spans="1:36" x14ac:dyDescent="0.15">
      <c r="A13" s="5" t="s">
        <v>36</v>
      </c>
      <c r="B13" s="6" t="s">
        <v>37</v>
      </c>
      <c r="C13" s="7" t="s">
        <v>38</v>
      </c>
      <c r="D13" s="34" t="s">
        <v>54</v>
      </c>
      <c r="E13" s="6">
        <v>2025</v>
      </c>
      <c r="F13" s="9">
        <f>SUM(F14:F15)</f>
        <v>0</v>
      </c>
      <c r="G13" s="10" t="str">
        <f>IFERROR(F13/F$9,"")</f>
        <v/>
      </c>
      <c r="H13" s="9">
        <f>SUM(H14:H15)</f>
        <v>0</v>
      </c>
      <c r="I13" s="10" t="str">
        <f>IFERROR(H13/H$9,"")</f>
        <v/>
      </c>
      <c r="J13" s="9">
        <f>SUM(J14:J15)</f>
        <v>0</v>
      </c>
      <c r="K13" s="10" t="str">
        <f>IFERROR(J13/J$9,"")</f>
        <v/>
      </c>
      <c r="L13" s="9">
        <f>SUM(L14:L15)</f>
        <v>0</v>
      </c>
      <c r="M13" s="10" t="str">
        <f>IFERROR(L13/L$9,"")</f>
        <v/>
      </c>
      <c r="N13" s="9">
        <f>SUM(N14:N15)</f>
        <v>0</v>
      </c>
      <c r="O13" s="10" t="str">
        <f>IFERROR(N13/N$9,"")</f>
        <v/>
      </c>
      <c r="P13" s="9">
        <f>SUM(P14:P15)</f>
        <v>0</v>
      </c>
      <c r="Q13" s="10" t="str">
        <f>IFERROR(P13/P$9,"")</f>
        <v/>
      </c>
      <c r="R13" s="9">
        <f>SUM(R14:R15)</f>
        <v>0</v>
      </c>
      <c r="S13" s="10" t="str">
        <f>IFERROR(R13/R$9,"")</f>
        <v/>
      </c>
      <c r="T13" s="9">
        <f>SUM(T14:T15)</f>
        <v>0</v>
      </c>
      <c r="U13" s="10" t="str">
        <f>IFERROR(T13/T$9,"")</f>
        <v/>
      </c>
      <c r="V13" s="9">
        <f>SUM(V14:V15)</f>
        <v>0</v>
      </c>
      <c r="W13" s="10" t="str">
        <f>IFERROR(V13/V$9,"")</f>
        <v/>
      </c>
      <c r="X13" s="9">
        <f>SUM(X14:X15)</f>
        <v>0</v>
      </c>
      <c r="Y13" s="10" t="str">
        <f>IFERROR(X13/X$9,"")</f>
        <v/>
      </c>
      <c r="Z13" s="9">
        <f>SUM(Z14:Z15)</f>
        <v>0</v>
      </c>
      <c r="AA13" s="10" t="str">
        <f>IFERROR(Z13/Z$9,"")</f>
        <v/>
      </c>
      <c r="AB13" s="9">
        <f>SUM(AB14:AB15)</f>
        <v>0</v>
      </c>
      <c r="AC13" s="10" t="str">
        <f>IFERROR(AB13/AB$9,"")</f>
        <v/>
      </c>
      <c r="AD13" s="9">
        <f>SUM(F13,H13,J13,L13,N13,P13,R13,T13,V13,X13,Z13,AB13)</f>
        <v>0</v>
      </c>
      <c r="AE13" s="10" t="str">
        <f>IFERROR(AD13/AD$9,"")</f>
        <v/>
      </c>
      <c r="AF13" s="28">
        <f>SUM(F13,H13,J13)</f>
        <v>0</v>
      </c>
      <c r="AG13" s="28">
        <f>SUM(L13,N13,P13)</f>
        <v>0</v>
      </c>
      <c r="AH13" s="28">
        <f>SUM(R13,T13,V13)</f>
        <v>0</v>
      </c>
      <c r="AI13" s="30">
        <f>SUM(X13,Z13,AB13)</f>
        <v>0</v>
      </c>
      <c r="AJ13" s="14" t="s">
        <v>50</v>
      </c>
    </row>
    <row r="14" spans="1:36" x14ac:dyDescent="0.15">
      <c r="A14" s="5" t="s">
        <v>36</v>
      </c>
      <c r="B14" s="6" t="s">
        <v>37</v>
      </c>
      <c r="C14" s="7" t="s">
        <v>38</v>
      </c>
      <c r="D14" s="51" t="s">
        <v>164</v>
      </c>
      <c r="E14" s="6">
        <v>2025</v>
      </c>
      <c r="F14" s="16"/>
      <c r="G14" s="10"/>
      <c r="H14" s="16"/>
      <c r="I14" s="10"/>
      <c r="J14" s="16"/>
      <c r="K14" s="10"/>
      <c r="L14" s="16"/>
      <c r="M14" s="10"/>
      <c r="N14" s="16"/>
      <c r="O14" s="10"/>
      <c r="P14" s="16"/>
      <c r="Q14" s="10"/>
      <c r="R14" s="16"/>
      <c r="S14" s="10"/>
      <c r="T14" s="16"/>
      <c r="U14" s="10"/>
      <c r="V14" s="16"/>
      <c r="W14" s="10"/>
      <c r="X14" s="16"/>
      <c r="Y14" s="10"/>
      <c r="Z14" s="16"/>
      <c r="AA14" s="10"/>
      <c r="AB14" s="16"/>
      <c r="AC14" s="10"/>
      <c r="AD14" s="16">
        <f>SUM(F14,H14,J14,L14,N14,P14,R14,T14,V14,X14,Z14,AB14)</f>
        <v>0</v>
      </c>
      <c r="AE14" s="10"/>
      <c r="AF14" s="35">
        <f>SUM(F14,H14,J14)</f>
        <v>0</v>
      </c>
      <c r="AG14" s="35">
        <f>SUM(L14,N14,P14)</f>
        <v>0</v>
      </c>
      <c r="AH14" s="35">
        <f>SUM(R14,T14,V14)</f>
        <v>0</v>
      </c>
      <c r="AI14" s="36">
        <f>SUM(X14,Z14,AB14)</f>
        <v>0</v>
      </c>
      <c r="AJ14" s="14"/>
    </row>
    <row r="15" spans="1:36" x14ac:dyDescent="0.15">
      <c r="A15" s="5" t="s">
        <v>36</v>
      </c>
      <c r="B15" s="6" t="s">
        <v>37</v>
      </c>
      <c r="C15" s="7" t="s">
        <v>38</v>
      </c>
      <c r="D15" s="51" t="s">
        <v>165</v>
      </c>
      <c r="E15" s="6">
        <v>2025</v>
      </c>
      <c r="F15" s="16"/>
      <c r="G15" s="10"/>
      <c r="H15" s="16"/>
      <c r="I15" s="10"/>
      <c r="J15" s="16"/>
      <c r="K15" s="10"/>
      <c r="L15" s="16"/>
      <c r="M15" s="10"/>
      <c r="N15" s="16"/>
      <c r="O15" s="10"/>
      <c r="P15" s="16"/>
      <c r="Q15" s="10"/>
      <c r="R15" s="16"/>
      <c r="S15" s="10"/>
      <c r="T15" s="16"/>
      <c r="U15" s="10"/>
      <c r="V15" s="16"/>
      <c r="W15" s="10"/>
      <c r="X15" s="16"/>
      <c r="Y15" s="10"/>
      <c r="Z15" s="16"/>
      <c r="AA15" s="10"/>
      <c r="AB15" s="16"/>
      <c r="AC15" s="10"/>
      <c r="AD15" s="16">
        <f>SUM(F15,H15,J15,L15,N15,P15,R15,T15,V15,X15,Z15,AB15)</f>
        <v>0</v>
      </c>
      <c r="AE15" s="10"/>
      <c r="AF15" s="35">
        <f>SUM(F15,H15,J15)</f>
        <v>0</v>
      </c>
      <c r="AG15" s="35">
        <f>SUM(L15,N15,P15)</f>
        <v>0</v>
      </c>
      <c r="AH15" s="35">
        <f>SUM(R15,T15,V15)</f>
        <v>0</v>
      </c>
      <c r="AI15" s="36">
        <f>SUM(X15,Z15,AB15)</f>
        <v>0</v>
      </c>
      <c r="AJ15" s="14"/>
    </row>
    <row r="16" spans="1:36" x14ac:dyDescent="0.15">
      <c r="A16" s="5" t="s">
        <v>36</v>
      </c>
      <c r="B16" s="6" t="s">
        <v>37</v>
      </c>
      <c r="C16" s="7" t="s">
        <v>38</v>
      </c>
      <c r="D16" s="37" t="s">
        <v>55</v>
      </c>
      <c r="E16" s="6">
        <v>2025</v>
      </c>
      <c r="F16" s="16"/>
      <c r="G16" s="10" t="str">
        <f>IFERROR(F16/F$9,"")</f>
        <v/>
      </c>
      <c r="H16" s="16"/>
      <c r="I16" s="10" t="str">
        <f>IFERROR(H16/H$9,"")</f>
        <v/>
      </c>
      <c r="J16" s="16"/>
      <c r="K16" s="10" t="str">
        <f>IFERROR(J16/J$9,"")</f>
        <v/>
      </c>
      <c r="L16" s="16"/>
      <c r="M16" s="10" t="str">
        <f>IFERROR(L16/L$9,"")</f>
        <v/>
      </c>
      <c r="N16" s="16"/>
      <c r="O16" s="10" t="str">
        <f>IFERROR(N16/N$9,"")</f>
        <v/>
      </c>
      <c r="P16" s="16"/>
      <c r="Q16" s="10" t="str">
        <f>IFERROR(P16/P$9,"")</f>
        <v/>
      </c>
      <c r="R16" s="16"/>
      <c r="S16" s="10" t="str">
        <f>IFERROR(R16/R$9,"")</f>
        <v/>
      </c>
      <c r="T16" s="16"/>
      <c r="U16" s="10" t="str">
        <f>IFERROR(T16/T$9,"")</f>
        <v/>
      </c>
      <c r="V16" s="16"/>
      <c r="W16" s="10" t="str">
        <f>IFERROR(V16/V$9,"")</f>
        <v/>
      </c>
      <c r="X16" s="16"/>
      <c r="Y16" s="10" t="str">
        <f>IFERROR(X16/X$9,"")</f>
        <v/>
      </c>
      <c r="Z16" s="16"/>
      <c r="AA16" s="10" t="str">
        <f>IFERROR(Z16/Z$9,"")</f>
        <v/>
      </c>
      <c r="AB16" s="16"/>
      <c r="AC16" s="10" t="str">
        <f>IFERROR(AB16/AB$9,"")</f>
        <v/>
      </c>
      <c r="AD16" s="16">
        <f t="shared" ref="AD16:AD23" si="26">SUM(F16,H16,J16,L16,N16,P16,R16,T16,V16,X16,Z16,AB16)</f>
        <v>0</v>
      </c>
      <c r="AE16" s="10" t="str">
        <f>IFERROR(AD16/AD$9,"")</f>
        <v/>
      </c>
      <c r="AF16" s="35">
        <f t="shared" ref="AF16:AF23" si="27">SUM(F16,H16,J16)</f>
        <v>0</v>
      </c>
      <c r="AG16" s="35">
        <f t="shared" ref="AG16:AG23" si="28">SUM(L16,N16,P16)</f>
        <v>0</v>
      </c>
      <c r="AH16" s="35">
        <f t="shared" ref="AH16:AH23" si="29">SUM(R16,T16,V16)</f>
        <v>0</v>
      </c>
      <c r="AI16" s="36">
        <f t="shared" ref="AI16:AI23" si="30">SUM(X16,Z16,AB16)</f>
        <v>0</v>
      </c>
      <c r="AJ16" s="14"/>
    </row>
    <row r="17" spans="1:36" x14ac:dyDescent="0.15">
      <c r="A17" s="5" t="s">
        <v>36</v>
      </c>
      <c r="B17" s="6" t="s">
        <v>37</v>
      </c>
      <c r="C17" s="7" t="s">
        <v>38</v>
      </c>
      <c r="D17" s="38" t="s">
        <v>56</v>
      </c>
      <c r="E17" s="6">
        <v>2025</v>
      </c>
      <c r="F17" s="16"/>
      <c r="G17" s="10"/>
      <c r="H17" s="16"/>
      <c r="I17" s="10"/>
      <c r="J17" s="16"/>
      <c r="K17" s="10"/>
      <c r="L17" s="16"/>
      <c r="M17" s="10"/>
      <c r="N17" s="16"/>
      <c r="O17" s="10"/>
      <c r="P17" s="16"/>
      <c r="Q17" s="10"/>
      <c r="R17" s="16"/>
      <c r="S17" s="10"/>
      <c r="T17" s="16"/>
      <c r="U17" s="10"/>
      <c r="V17" s="16"/>
      <c r="W17" s="10"/>
      <c r="X17" s="16"/>
      <c r="Y17" s="10"/>
      <c r="Z17" s="16"/>
      <c r="AA17" s="10"/>
      <c r="AB17" s="16"/>
      <c r="AC17" s="10"/>
      <c r="AD17" s="16">
        <f t="shared" si="26"/>
        <v>0</v>
      </c>
      <c r="AE17" s="10"/>
      <c r="AF17" s="35">
        <f t="shared" si="27"/>
        <v>0</v>
      </c>
      <c r="AG17" s="35">
        <f t="shared" si="28"/>
        <v>0</v>
      </c>
      <c r="AH17" s="35">
        <f t="shared" si="29"/>
        <v>0</v>
      </c>
      <c r="AI17" s="36">
        <f t="shared" si="30"/>
        <v>0</v>
      </c>
      <c r="AJ17" s="14" t="s">
        <v>57</v>
      </c>
    </row>
    <row r="18" spans="1:36" x14ac:dyDescent="0.15">
      <c r="A18" s="5" t="s">
        <v>36</v>
      </c>
      <c r="B18" s="6" t="s">
        <v>37</v>
      </c>
      <c r="C18" s="7" t="s">
        <v>38</v>
      </c>
      <c r="D18" s="38" t="s">
        <v>58</v>
      </c>
      <c r="E18" s="6">
        <v>2025</v>
      </c>
      <c r="F18" s="16"/>
      <c r="G18" s="10"/>
      <c r="H18" s="16"/>
      <c r="I18" s="10"/>
      <c r="J18" s="16"/>
      <c r="K18" s="10"/>
      <c r="L18" s="16"/>
      <c r="M18" s="10"/>
      <c r="N18" s="16"/>
      <c r="O18" s="10"/>
      <c r="P18" s="16"/>
      <c r="Q18" s="10"/>
      <c r="R18" s="16"/>
      <c r="S18" s="10"/>
      <c r="T18" s="16"/>
      <c r="U18" s="10"/>
      <c r="V18" s="16"/>
      <c r="W18" s="10"/>
      <c r="X18" s="16"/>
      <c r="Y18" s="10"/>
      <c r="Z18" s="16"/>
      <c r="AA18" s="10"/>
      <c r="AB18" s="16"/>
      <c r="AC18" s="10"/>
      <c r="AD18" s="16">
        <f t="shared" si="26"/>
        <v>0</v>
      </c>
      <c r="AE18" s="10"/>
      <c r="AF18" s="35">
        <f t="shared" si="27"/>
        <v>0</v>
      </c>
      <c r="AG18" s="35">
        <f t="shared" si="28"/>
        <v>0</v>
      </c>
      <c r="AH18" s="35">
        <f t="shared" si="29"/>
        <v>0</v>
      </c>
      <c r="AI18" s="36">
        <f t="shared" si="30"/>
        <v>0</v>
      </c>
      <c r="AJ18" s="14" t="s">
        <v>57</v>
      </c>
    </row>
    <row r="19" spans="1:36" x14ac:dyDescent="0.15">
      <c r="A19" s="5" t="s">
        <v>36</v>
      </c>
      <c r="B19" s="6" t="s">
        <v>37</v>
      </c>
      <c r="C19" s="7" t="s">
        <v>38</v>
      </c>
      <c r="D19" s="38" t="s">
        <v>59</v>
      </c>
      <c r="E19" s="6">
        <v>2025</v>
      </c>
      <c r="F19" s="16"/>
      <c r="G19" s="10"/>
      <c r="H19" s="16"/>
      <c r="I19" s="10"/>
      <c r="J19" s="16"/>
      <c r="K19" s="10"/>
      <c r="L19" s="16"/>
      <c r="M19" s="10"/>
      <c r="N19" s="16"/>
      <c r="O19" s="10"/>
      <c r="P19" s="16"/>
      <c r="Q19" s="10"/>
      <c r="R19" s="16"/>
      <c r="S19" s="10"/>
      <c r="T19" s="16"/>
      <c r="U19" s="10"/>
      <c r="V19" s="16"/>
      <c r="W19" s="10"/>
      <c r="X19" s="16"/>
      <c r="Y19" s="10"/>
      <c r="Z19" s="16"/>
      <c r="AA19" s="10"/>
      <c r="AB19" s="16"/>
      <c r="AC19" s="10"/>
      <c r="AD19" s="16">
        <f t="shared" si="26"/>
        <v>0</v>
      </c>
      <c r="AE19" s="10"/>
      <c r="AF19" s="35">
        <f t="shared" si="27"/>
        <v>0</v>
      </c>
      <c r="AG19" s="35">
        <f t="shared" si="28"/>
        <v>0</v>
      </c>
      <c r="AH19" s="35">
        <f t="shared" si="29"/>
        <v>0</v>
      </c>
      <c r="AI19" s="36">
        <f t="shared" si="30"/>
        <v>0</v>
      </c>
      <c r="AJ19" s="14" t="s">
        <v>57</v>
      </c>
    </row>
    <row r="20" spans="1:36" x14ac:dyDescent="0.15">
      <c r="A20" s="5" t="s">
        <v>36</v>
      </c>
      <c r="B20" s="6" t="s">
        <v>37</v>
      </c>
      <c r="C20" s="7" t="s">
        <v>38</v>
      </c>
      <c r="D20" s="38" t="s">
        <v>60</v>
      </c>
      <c r="E20" s="6">
        <v>2025</v>
      </c>
      <c r="F20" s="16"/>
      <c r="G20" s="10"/>
      <c r="H20" s="16"/>
      <c r="I20" s="10"/>
      <c r="J20" s="16"/>
      <c r="K20" s="10"/>
      <c r="L20" s="16"/>
      <c r="M20" s="10"/>
      <c r="N20" s="16"/>
      <c r="O20" s="10"/>
      <c r="P20" s="16"/>
      <c r="Q20" s="10"/>
      <c r="R20" s="16"/>
      <c r="S20" s="10"/>
      <c r="T20" s="16"/>
      <c r="U20" s="10"/>
      <c r="V20" s="16"/>
      <c r="W20" s="10"/>
      <c r="X20" s="16"/>
      <c r="Y20" s="10"/>
      <c r="Z20" s="16"/>
      <c r="AA20" s="10"/>
      <c r="AB20" s="16"/>
      <c r="AC20" s="10"/>
      <c r="AD20" s="16">
        <f t="shared" si="26"/>
        <v>0</v>
      </c>
      <c r="AE20" s="10"/>
      <c r="AF20" s="35">
        <f t="shared" si="27"/>
        <v>0</v>
      </c>
      <c r="AG20" s="35">
        <f t="shared" si="28"/>
        <v>0</v>
      </c>
      <c r="AH20" s="35">
        <f t="shared" si="29"/>
        <v>0</v>
      </c>
      <c r="AI20" s="36">
        <f t="shared" si="30"/>
        <v>0</v>
      </c>
      <c r="AJ20" s="14" t="s">
        <v>57</v>
      </c>
    </row>
    <row r="21" spans="1:36" x14ac:dyDescent="0.15">
      <c r="A21" s="5" t="s">
        <v>36</v>
      </c>
      <c r="B21" s="6" t="s">
        <v>37</v>
      </c>
      <c r="C21" s="7" t="s">
        <v>38</v>
      </c>
      <c r="D21" s="38" t="s">
        <v>61</v>
      </c>
      <c r="E21" s="6">
        <v>2025</v>
      </c>
      <c r="F21" s="16"/>
      <c r="G21" s="10"/>
      <c r="H21" s="16"/>
      <c r="I21" s="10"/>
      <c r="J21" s="16"/>
      <c r="K21" s="10"/>
      <c r="L21" s="16"/>
      <c r="M21" s="10"/>
      <c r="N21" s="16"/>
      <c r="O21" s="10"/>
      <c r="P21" s="16"/>
      <c r="Q21" s="10"/>
      <c r="R21" s="16"/>
      <c r="S21" s="10"/>
      <c r="T21" s="16"/>
      <c r="U21" s="10"/>
      <c r="V21" s="16"/>
      <c r="W21" s="10"/>
      <c r="X21" s="16"/>
      <c r="Y21" s="10"/>
      <c r="Z21" s="16"/>
      <c r="AA21" s="10"/>
      <c r="AB21" s="16"/>
      <c r="AC21" s="10"/>
      <c r="AD21" s="16">
        <f t="shared" si="26"/>
        <v>0</v>
      </c>
      <c r="AE21" s="10"/>
      <c r="AF21" s="35">
        <f t="shared" si="27"/>
        <v>0</v>
      </c>
      <c r="AG21" s="35">
        <f t="shared" si="28"/>
        <v>0</v>
      </c>
      <c r="AH21" s="35">
        <f t="shared" si="29"/>
        <v>0</v>
      </c>
      <c r="AI21" s="36">
        <f t="shared" si="30"/>
        <v>0</v>
      </c>
      <c r="AJ21" s="14" t="s">
        <v>57</v>
      </c>
    </row>
    <row r="22" spans="1:36" x14ac:dyDescent="0.15">
      <c r="A22" s="5" t="s">
        <v>36</v>
      </c>
      <c r="B22" s="6" t="s">
        <v>37</v>
      </c>
      <c r="C22" s="7" t="s">
        <v>38</v>
      </c>
      <c r="D22" s="38" t="s">
        <v>62</v>
      </c>
      <c r="E22" s="6">
        <v>2025</v>
      </c>
      <c r="F22" s="16"/>
      <c r="G22" s="10"/>
      <c r="H22" s="16"/>
      <c r="I22" s="10"/>
      <c r="J22" s="16"/>
      <c r="K22" s="10"/>
      <c r="L22" s="16"/>
      <c r="M22" s="10"/>
      <c r="N22" s="16"/>
      <c r="O22" s="10"/>
      <c r="P22" s="16"/>
      <c r="Q22" s="10"/>
      <c r="R22" s="16"/>
      <c r="S22" s="10"/>
      <c r="T22" s="16"/>
      <c r="U22" s="10"/>
      <c r="V22" s="16"/>
      <c r="W22" s="10"/>
      <c r="X22" s="16"/>
      <c r="Y22" s="10"/>
      <c r="Z22" s="16"/>
      <c r="AA22" s="10"/>
      <c r="AB22" s="16"/>
      <c r="AC22" s="10"/>
      <c r="AD22" s="16">
        <f t="shared" si="26"/>
        <v>0</v>
      </c>
      <c r="AE22" s="10"/>
      <c r="AF22" s="35">
        <f t="shared" si="27"/>
        <v>0</v>
      </c>
      <c r="AG22" s="35">
        <f t="shared" si="28"/>
        <v>0</v>
      </c>
      <c r="AH22" s="35">
        <f t="shared" si="29"/>
        <v>0</v>
      </c>
      <c r="AI22" s="36">
        <f t="shared" si="30"/>
        <v>0</v>
      </c>
      <c r="AJ22" s="14" t="s">
        <v>57</v>
      </c>
    </row>
    <row r="23" spans="1:36" x14ac:dyDescent="0.15">
      <c r="A23" s="5" t="s">
        <v>36</v>
      </c>
      <c r="B23" s="6" t="s">
        <v>37</v>
      </c>
      <c r="C23" s="7" t="s">
        <v>38</v>
      </c>
      <c r="D23" s="37" t="s">
        <v>63</v>
      </c>
      <c r="E23" s="6">
        <v>2025</v>
      </c>
      <c r="F23" s="16"/>
      <c r="G23" s="10"/>
      <c r="H23" s="16"/>
      <c r="I23" s="10"/>
      <c r="J23" s="16"/>
      <c r="K23" s="10"/>
      <c r="L23" s="16"/>
      <c r="M23" s="10"/>
      <c r="N23" s="16"/>
      <c r="O23" s="10"/>
      <c r="P23" s="16"/>
      <c r="Q23" s="10"/>
      <c r="R23" s="16"/>
      <c r="S23" s="10"/>
      <c r="T23" s="16"/>
      <c r="U23" s="10"/>
      <c r="V23" s="16"/>
      <c r="W23" s="10"/>
      <c r="X23" s="16"/>
      <c r="Y23" s="10"/>
      <c r="Z23" s="16"/>
      <c r="AA23" s="10"/>
      <c r="AB23" s="16"/>
      <c r="AC23" s="10"/>
      <c r="AD23" s="16">
        <f t="shared" si="26"/>
        <v>0</v>
      </c>
      <c r="AE23" s="10"/>
      <c r="AF23" s="35">
        <f t="shared" si="27"/>
        <v>0</v>
      </c>
      <c r="AG23" s="35">
        <f t="shared" si="28"/>
        <v>0</v>
      </c>
      <c r="AH23" s="35">
        <f t="shared" si="29"/>
        <v>0</v>
      </c>
      <c r="AI23" s="36">
        <f t="shared" si="30"/>
        <v>0</v>
      </c>
      <c r="AJ23" s="14"/>
    </row>
    <row r="24" spans="1:36" s="33" customFormat="1" ht="16.5" x14ac:dyDescent="0.15">
      <c r="A24" s="5" t="s">
        <v>36</v>
      </c>
      <c r="B24" s="6" t="s">
        <v>37</v>
      </c>
      <c r="C24" s="7" t="s">
        <v>38</v>
      </c>
      <c r="D24" s="8" t="s">
        <v>64</v>
      </c>
      <c r="E24" s="6">
        <v>2025</v>
      </c>
      <c r="F24" s="26">
        <f t="shared" ref="F24:J24" si="31">SUM(F25+F82+F35+F50+F58+F85+F63+F69)</f>
        <v>0</v>
      </c>
      <c r="G24" s="10"/>
      <c r="H24" s="26">
        <f t="shared" si="31"/>
        <v>0</v>
      </c>
      <c r="I24" s="10"/>
      <c r="J24" s="26">
        <f t="shared" si="31"/>
        <v>0</v>
      </c>
      <c r="K24" s="10"/>
      <c r="L24" s="26">
        <f t="shared" ref="L24:P24" si="32">SUM(L25+L82+L35+L50+L58+L85+L63+L69)</f>
        <v>0</v>
      </c>
      <c r="M24" s="10"/>
      <c r="N24" s="26">
        <f t="shared" si="32"/>
        <v>0</v>
      </c>
      <c r="O24" s="10"/>
      <c r="P24" s="26">
        <f t="shared" si="32"/>
        <v>0</v>
      </c>
      <c r="Q24" s="10"/>
      <c r="R24" s="26">
        <f t="shared" ref="R24:V24" si="33">SUM(R25+R82+R35+R50+R58+R85+R63+R69)</f>
        <v>0</v>
      </c>
      <c r="S24" s="10"/>
      <c r="T24" s="26">
        <f t="shared" si="33"/>
        <v>0</v>
      </c>
      <c r="U24" s="10"/>
      <c r="V24" s="26">
        <f t="shared" si="33"/>
        <v>0</v>
      </c>
      <c r="W24" s="10"/>
      <c r="X24" s="26">
        <f t="shared" ref="X24:AB24" si="34">SUM(X25+X82+X35+X50+X58+X85+X63+X69)</f>
        <v>0</v>
      </c>
      <c r="Y24" s="10"/>
      <c r="Z24" s="26">
        <f t="shared" si="34"/>
        <v>0</v>
      </c>
      <c r="AA24" s="10"/>
      <c r="AB24" s="26">
        <f t="shared" si="34"/>
        <v>0</v>
      </c>
      <c r="AC24" s="10"/>
      <c r="AD24" s="26">
        <f>SUM(AD25+AD82+AD35+AD50+AD58+AD85+AD63+AD69)</f>
        <v>0</v>
      </c>
      <c r="AE24" s="10"/>
      <c r="AF24" s="31">
        <f>SUM(AF25+AF82+AF35+AF50+AF58+AF63+AF85+AF69)</f>
        <v>0</v>
      </c>
      <c r="AG24" s="31">
        <f>SUM(AG25+AG82+AG35+AG50+AG58+AG63+AG85+AG69)</f>
        <v>0</v>
      </c>
      <c r="AH24" s="31">
        <f>SUM(AH25+AH82+AH35+AH50+AH58+AH63+AH85+AH69)</f>
        <v>0</v>
      </c>
      <c r="AI24" s="31">
        <f>SUM(AI25+AI82+AI35+AI50+AI58+AI63+AI85+AI69)</f>
        <v>0</v>
      </c>
      <c r="AJ24" s="14" t="s">
        <v>50</v>
      </c>
    </row>
    <row r="25" spans="1:36" s="33" customFormat="1" ht="16.5" x14ac:dyDescent="0.15">
      <c r="A25" s="5" t="s">
        <v>36</v>
      </c>
      <c r="B25" s="6" t="s">
        <v>37</v>
      </c>
      <c r="C25" s="7" t="s">
        <v>38</v>
      </c>
      <c r="D25" s="8" t="s">
        <v>65</v>
      </c>
      <c r="E25" s="6">
        <v>2025</v>
      </c>
      <c r="F25" s="26">
        <f t="shared" ref="F25:J25" si="35">SUM(F26,F29:F34)</f>
        <v>0</v>
      </c>
      <c r="G25" s="10" t="str">
        <f t="shared" ref="G25:K25" si="36">IFERROR(F25/F$9,"")</f>
        <v/>
      </c>
      <c r="H25" s="26">
        <f t="shared" si="35"/>
        <v>0</v>
      </c>
      <c r="I25" s="10" t="str">
        <f t="shared" si="36"/>
        <v/>
      </c>
      <c r="J25" s="26">
        <f t="shared" si="35"/>
        <v>0</v>
      </c>
      <c r="K25" s="10" t="str">
        <f t="shared" si="36"/>
        <v/>
      </c>
      <c r="L25" s="26">
        <f t="shared" ref="L25:P25" si="37">SUM(L26,L29:L34)</f>
        <v>0</v>
      </c>
      <c r="M25" s="10" t="str">
        <f t="shared" ref="M25:Q25" si="38">IFERROR(L25/L$9,"")</f>
        <v/>
      </c>
      <c r="N25" s="26">
        <f t="shared" si="37"/>
        <v>0</v>
      </c>
      <c r="O25" s="10" t="str">
        <f t="shared" si="38"/>
        <v/>
      </c>
      <c r="P25" s="26">
        <f t="shared" si="37"/>
        <v>0</v>
      </c>
      <c r="Q25" s="10" t="str">
        <f t="shared" si="38"/>
        <v/>
      </c>
      <c r="R25" s="26">
        <f t="shared" ref="R25:V25" si="39">SUM(R26,R29:R34)</f>
        <v>0</v>
      </c>
      <c r="S25" s="10" t="str">
        <f t="shared" ref="S25:W25" si="40">IFERROR(R25/R$9,"")</f>
        <v/>
      </c>
      <c r="T25" s="26">
        <f t="shared" si="39"/>
        <v>0</v>
      </c>
      <c r="U25" s="10" t="str">
        <f t="shared" si="40"/>
        <v/>
      </c>
      <c r="V25" s="26">
        <f t="shared" si="39"/>
        <v>0</v>
      </c>
      <c r="W25" s="10" t="str">
        <f t="shared" si="40"/>
        <v/>
      </c>
      <c r="X25" s="26">
        <f t="shared" ref="X25:AB25" si="41">SUM(X26,X29:X34)</f>
        <v>0</v>
      </c>
      <c r="Y25" s="10" t="str">
        <f t="shared" ref="Y25:AC25" si="42">IFERROR(X25/X$9,"")</f>
        <v/>
      </c>
      <c r="Z25" s="26">
        <f t="shared" si="41"/>
        <v>0</v>
      </c>
      <c r="AA25" s="10" t="str">
        <f t="shared" si="42"/>
        <v/>
      </c>
      <c r="AB25" s="26">
        <f t="shared" si="41"/>
        <v>0</v>
      </c>
      <c r="AC25" s="10" t="str">
        <f t="shared" si="42"/>
        <v/>
      </c>
      <c r="AD25" s="26">
        <f t="shared" ref="AD25:AI25" si="43">SUM(AD26,AD29:AD34)</f>
        <v>0</v>
      </c>
      <c r="AE25" s="10" t="str">
        <f>IFERROR(AD25/AD$9,"")</f>
        <v/>
      </c>
      <c r="AF25" s="31">
        <f t="shared" si="43"/>
        <v>0</v>
      </c>
      <c r="AG25" s="31">
        <f t="shared" si="43"/>
        <v>0</v>
      </c>
      <c r="AH25" s="31">
        <f t="shared" si="43"/>
        <v>0</v>
      </c>
      <c r="AI25" s="32">
        <f t="shared" si="43"/>
        <v>0</v>
      </c>
      <c r="AJ25" s="14" t="s">
        <v>50</v>
      </c>
    </row>
    <row r="26" spans="1:36" x14ac:dyDescent="0.15">
      <c r="A26" s="5" t="s">
        <v>36</v>
      </c>
      <c r="B26" s="6" t="s">
        <v>37</v>
      </c>
      <c r="C26" s="7" t="s">
        <v>38</v>
      </c>
      <c r="D26" s="34" t="s">
        <v>66</v>
      </c>
      <c r="E26" s="6">
        <v>2025</v>
      </c>
      <c r="F26" s="9">
        <f>SUM(F27:F28)</f>
        <v>0</v>
      </c>
      <c r="G26" s="10" t="str">
        <f t="shared" ref="G26:K26" si="44">IFERROR(SUM(F26,F30)/F13,"")</f>
        <v/>
      </c>
      <c r="H26" s="9">
        <f>SUM(H27:H28)</f>
        <v>0</v>
      </c>
      <c r="I26" s="10" t="str">
        <f t="shared" si="44"/>
        <v/>
      </c>
      <c r="J26" s="9">
        <f>SUM(J27:J28)</f>
        <v>0</v>
      </c>
      <c r="K26" s="10" t="str">
        <f t="shared" si="44"/>
        <v/>
      </c>
      <c r="L26" s="9">
        <f>SUM(L27:L28)</f>
        <v>0</v>
      </c>
      <c r="M26" s="10" t="str">
        <f t="shared" ref="M26:Q26" si="45">IFERROR(SUM(L26,L30)/L13,"")</f>
        <v/>
      </c>
      <c r="N26" s="9">
        <f>SUM(N27:N28)</f>
        <v>0</v>
      </c>
      <c r="O26" s="10" t="str">
        <f t="shared" si="45"/>
        <v/>
      </c>
      <c r="P26" s="39">
        <f>SUM(P27:P28)</f>
        <v>0</v>
      </c>
      <c r="Q26" s="40" t="str">
        <f t="shared" si="45"/>
        <v/>
      </c>
      <c r="R26" s="39">
        <f>SUM(R27:R28)</f>
        <v>0</v>
      </c>
      <c r="S26" s="10" t="str">
        <f t="shared" ref="S26:W26" si="46">IFERROR(SUM(R26,R30)/R13,"")</f>
        <v/>
      </c>
      <c r="T26" s="39">
        <f>SUM(T27:T28)</f>
        <v>0</v>
      </c>
      <c r="U26" s="10" t="str">
        <f t="shared" si="46"/>
        <v/>
      </c>
      <c r="V26" s="39">
        <f>SUM(V27:V28)</f>
        <v>0</v>
      </c>
      <c r="W26" s="10" t="str">
        <f t="shared" si="46"/>
        <v/>
      </c>
      <c r="X26" s="39">
        <f>SUM(X27:X28)</f>
        <v>0</v>
      </c>
      <c r="Y26" s="10" t="str">
        <f t="shared" ref="Y26:AC26" si="47">IFERROR(SUM(X26,X30)/X13,"")</f>
        <v/>
      </c>
      <c r="Z26" s="39">
        <f>SUM(Z27:Z28)</f>
        <v>0</v>
      </c>
      <c r="AA26" s="10" t="str">
        <f t="shared" si="47"/>
        <v/>
      </c>
      <c r="AB26" s="39">
        <f>SUM(AB27:AB28)</f>
        <v>0</v>
      </c>
      <c r="AC26" s="10" t="str">
        <f t="shared" si="47"/>
        <v/>
      </c>
      <c r="AD26" s="9">
        <f>SUM(F26,H26,J26,L26,N26,P26,R26,T26,V26,X26,Z26,AB26)</f>
        <v>0</v>
      </c>
      <c r="AE26" s="10" t="str">
        <f>IFERROR(SUM(AD26,AD30)/AD13,"")</f>
        <v/>
      </c>
      <c r="AF26" s="9">
        <f>SUM(F26,H26,J26)</f>
        <v>0</v>
      </c>
      <c r="AG26" s="9">
        <f>SUM(L26,N26,P26)</f>
        <v>0</v>
      </c>
      <c r="AH26" s="9">
        <f>SUM(R26,T26,V26)</f>
        <v>0</v>
      </c>
      <c r="AI26" s="18">
        <f>SUM(X26,Z26,AB26)</f>
        <v>0</v>
      </c>
      <c r="AJ26" s="14" t="s">
        <v>50</v>
      </c>
    </row>
    <row r="27" spans="1:36" x14ac:dyDescent="0.15">
      <c r="A27" s="5" t="s">
        <v>36</v>
      </c>
      <c r="B27" s="6" t="s">
        <v>37</v>
      </c>
      <c r="C27" s="7" t="s">
        <v>38</v>
      </c>
      <c r="D27" s="51" t="s">
        <v>162</v>
      </c>
      <c r="E27" s="6">
        <v>2025</v>
      </c>
      <c r="F27" s="16"/>
      <c r="G27" s="10"/>
      <c r="H27" s="16"/>
      <c r="I27" s="10"/>
      <c r="J27" s="16"/>
      <c r="K27" s="10"/>
      <c r="L27" s="16"/>
      <c r="M27" s="10"/>
      <c r="N27" s="16"/>
      <c r="O27" s="10"/>
      <c r="P27" s="16"/>
      <c r="Q27" s="10"/>
      <c r="R27" s="16"/>
      <c r="S27" s="10"/>
      <c r="T27" s="16"/>
      <c r="U27" s="10"/>
      <c r="V27" s="16"/>
      <c r="W27" s="10"/>
      <c r="X27" s="16"/>
      <c r="Y27" s="10"/>
      <c r="Z27" s="16"/>
      <c r="AA27" s="10"/>
      <c r="AB27" s="16"/>
      <c r="AC27" s="10"/>
      <c r="AD27" s="16">
        <f>SUM(F27,H27,J27,L27,N27,P27,R27,T27,V27,X27,Z27,AB27)</f>
        <v>0</v>
      </c>
      <c r="AE27" s="10"/>
      <c r="AF27" s="16">
        <f t="shared" ref="AF27:AF34" si="48">SUM(F27,H27,J27)</f>
        <v>0</v>
      </c>
      <c r="AG27" s="16">
        <f t="shared" ref="AG27:AG34" si="49">SUM(L27,N27,P27)</f>
        <v>0</v>
      </c>
      <c r="AH27" s="16">
        <f t="shared" ref="AH27:AH34" si="50">SUM(R27,T27,V27)</f>
        <v>0</v>
      </c>
      <c r="AI27" s="18">
        <f t="shared" ref="AI27:AI34" si="51">SUM(X27,Z27,AB27)</f>
        <v>0</v>
      </c>
      <c r="AJ27" s="14"/>
    </row>
    <row r="28" spans="1:36" x14ac:dyDescent="0.15">
      <c r="A28" s="5" t="s">
        <v>36</v>
      </c>
      <c r="B28" s="6" t="s">
        <v>37</v>
      </c>
      <c r="C28" s="7" t="s">
        <v>38</v>
      </c>
      <c r="D28" s="51" t="s">
        <v>163</v>
      </c>
      <c r="E28" s="6">
        <v>2025</v>
      </c>
      <c r="F28" s="16"/>
      <c r="G28" s="10"/>
      <c r="H28" s="16"/>
      <c r="I28" s="10"/>
      <c r="J28" s="16"/>
      <c r="K28" s="10"/>
      <c r="L28" s="16"/>
      <c r="M28" s="10"/>
      <c r="N28" s="16"/>
      <c r="O28" s="10"/>
      <c r="P28" s="16"/>
      <c r="Q28" s="10"/>
      <c r="R28" s="16"/>
      <c r="S28" s="10"/>
      <c r="T28" s="16"/>
      <c r="U28" s="10"/>
      <c r="V28" s="16"/>
      <c r="W28" s="10"/>
      <c r="X28" s="16"/>
      <c r="Y28" s="10"/>
      <c r="Z28" s="16"/>
      <c r="AA28" s="10"/>
      <c r="AB28" s="16"/>
      <c r="AC28" s="10"/>
      <c r="AD28" s="16">
        <f>SUM(F28,H28,J28,L28,N28,P28,R28,T28,V28,X28,Z28,AB28)</f>
        <v>0</v>
      </c>
      <c r="AE28" s="10"/>
      <c r="AF28" s="16">
        <f t="shared" si="48"/>
        <v>0</v>
      </c>
      <c r="AG28" s="16">
        <f t="shared" si="49"/>
        <v>0</v>
      </c>
      <c r="AH28" s="16">
        <f t="shared" si="50"/>
        <v>0</v>
      </c>
      <c r="AI28" s="18">
        <f t="shared" si="51"/>
        <v>0</v>
      </c>
      <c r="AJ28" s="14"/>
    </row>
    <row r="29" spans="1:36" x14ac:dyDescent="0.15">
      <c r="A29" s="5" t="s">
        <v>36</v>
      </c>
      <c r="B29" s="6" t="s">
        <v>37</v>
      </c>
      <c r="C29" s="7" t="s">
        <v>38</v>
      </c>
      <c r="D29" s="37" t="s">
        <v>67</v>
      </c>
      <c r="E29" s="6">
        <v>2025</v>
      </c>
      <c r="F29" s="16"/>
      <c r="G29" s="10" t="str">
        <f t="shared" ref="G29:K29" si="52">IFERROR(F29/F16,"")</f>
        <v/>
      </c>
      <c r="H29" s="16"/>
      <c r="I29" s="10" t="str">
        <f t="shared" si="52"/>
        <v/>
      </c>
      <c r="J29" s="16"/>
      <c r="K29" s="10" t="str">
        <f t="shared" si="52"/>
        <v/>
      </c>
      <c r="L29" s="16"/>
      <c r="M29" s="10" t="str">
        <f t="shared" ref="M29:Q29" si="53">IFERROR(L29/L16,"")</f>
        <v/>
      </c>
      <c r="N29" s="16"/>
      <c r="O29" s="10" t="str">
        <f t="shared" si="53"/>
        <v/>
      </c>
      <c r="P29" s="16"/>
      <c r="Q29" s="10" t="str">
        <f t="shared" si="53"/>
        <v/>
      </c>
      <c r="R29" s="16"/>
      <c r="S29" s="10" t="str">
        <f t="shared" ref="S29:W29" si="54">IFERROR(R29/R16,"")</f>
        <v/>
      </c>
      <c r="T29" s="16"/>
      <c r="U29" s="10" t="str">
        <f t="shared" si="54"/>
        <v/>
      </c>
      <c r="V29" s="16"/>
      <c r="W29" s="10" t="str">
        <f t="shared" si="54"/>
        <v/>
      </c>
      <c r="X29" s="16"/>
      <c r="Y29" s="10" t="str">
        <f t="shared" ref="Y29:AC29" si="55">IFERROR(X29/X16,"")</f>
        <v/>
      </c>
      <c r="Z29" s="16"/>
      <c r="AA29" s="10" t="str">
        <f t="shared" si="55"/>
        <v/>
      </c>
      <c r="AB29" s="16"/>
      <c r="AC29" s="10" t="str">
        <f t="shared" si="55"/>
        <v/>
      </c>
      <c r="AD29" s="16">
        <f t="shared" ref="AD29:AD34" si="56">SUM(F29,H29,J29,L29,N29,P29,R29,T29,V29,X29,Z29,AB29)</f>
        <v>0</v>
      </c>
      <c r="AE29" s="10" t="str">
        <f>IFERROR(AD29/AD16,"")</f>
        <v/>
      </c>
      <c r="AF29" s="16">
        <f t="shared" si="48"/>
        <v>0</v>
      </c>
      <c r="AG29" s="16">
        <f t="shared" si="49"/>
        <v>0</v>
      </c>
      <c r="AH29" s="16">
        <f t="shared" si="50"/>
        <v>0</v>
      </c>
      <c r="AI29" s="18">
        <f t="shared" si="51"/>
        <v>0</v>
      </c>
      <c r="AJ29" s="14"/>
    </row>
    <row r="30" spans="1:36" x14ac:dyDescent="0.15">
      <c r="A30" s="5" t="s">
        <v>36</v>
      </c>
      <c r="B30" s="6" t="s">
        <v>37</v>
      </c>
      <c r="C30" s="7" t="s">
        <v>38</v>
      </c>
      <c r="D30" s="37" t="s">
        <v>68</v>
      </c>
      <c r="E30" s="6">
        <v>2025</v>
      </c>
      <c r="F30" s="16"/>
      <c r="G30" s="10"/>
      <c r="H30" s="16"/>
      <c r="I30" s="10"/>
      <c r="J30" s="16"/>
      <c r="K30" s="10"/>
      <c r="L30" s="16"/>
      <c r="M30" s="10"/>
      <c r="N30" s="16"/>
      <c r="O30" s="10"/>
      <c r="P30" s="16"/>
      <c r="Q30" s="10"/>
      <c r="R30" s="16"/>
      <c r="S30" s="10"/>
      <c r="T30" s="16"/>
      <c r="U30" s="10"/>
      <c r="V30" s="16"/>
      <c r="W30" s="10"/>
      <c r="X30" s="16"/>
      <c r="Y30" s="10"/>
      <c r="Z30" s="16"/>
      <c r="AA30" s="10"/>
      <c r="AB30" s="16"/>
      <c r="AC30" s="10"/>
      <c r="AD30" s="16">
        <f t="shared" si="56"/>
        <v>0</v>
      </c>
      <c r="AE30" s="10"/>
      <c r="AF30" s="16">
        <f t="shared" si="48"/>
        <v>0</v>
      </c>
      <c r="AG30" s="16">
        <f t="shared" si="49"/>
        <v>0</v>
      </c>
      <c r="AH30" s="16">
        <f t="shared" si="50"/>
        <v>0</v>
      </c>
      <c r="AI30" s="18">
        <f t="shared" si="51"/>
        <v>0</v>
      </c>
      <c r="AJ30" s="14"/>
    </row>
    <row r="31" spans="1:36" x14ac:dyDescent="0.15">
      <c r="A31" s="5" t="s">
        <v>36</v>
      </c>
      <c r="B31" s="6" t="s">
        <v>37</v>
      </c>
      <c r="C31" s="7" t="s">
        <v>38</v>
      </c>
      <c r="D31" s="37" t="s">
        <v>69</v>
      </c>
      <c r="E31" s="6">
        <v>2025</v>
      </c>
      <c r="F31" s="16"/>
      <c r="G31" s="10"/>
      <c r="H31" s="16"/>
      <c r="I31" s="10"/>
      <c r="J31" s="16"/>
      <c r="K31" s="10"/>
      <c r="L31" s="16"/>
      <c r="M31" s="10"/>
      <c r="N31" s="16"/>
      <c r="O31" s="10"/>
      <c r="P31" s="16"/>
      <c r="Q31" s="10"/>
      <c r="R31" s="16"/>
      <c r="S31" s="10"/>
      <c r="T31" s="16"/>
      <c r="U31" s="10"/>
      <c r="V31" s="16"/>
      <c r="W31" s="10"/>
      <c r="X31" s="16"/>
      <c r="Y31" s="10"/>
      <c r="Z31" s="16"/>
      <c r="AA31" s="10"/>
      <c r="AB31" s="16"/>
      <c r="AC31" s="10"/>
      <c r="AD31" s="16">
        <f t="shared" si="56"/>
        <v>0</v>
      </c>
      <c r="AE31" s="10"/>
      <c r="AF31" s="16">
        <f t="shared" si="48"/>
        <v>0</v>
      </c>
      <c r="AG31" s="16">
        <f t="shared" si="49"/>
        <v>0</v>
      </c>
      <c r="AH31" s="16">
        <f t="shared" si="50"/>
        <v>0</v>
      </c>
      <c r="AI31" s="18">
        <f t="shared" si="51"/>
        <v>0</v>
      </c>
      <c r="AJ31" s="14"/>
    </row>
    <row r="32" spans="1:36" x14ac:dyDescent="0.15">
      <c r="A32" s="5" t="s">
        <v>36</v>
      </c>
      <c r="B32" s="6" t="s">
        <v>37</v>
      </c>
      <c r="C32" s="7" t="s">
        <v>38</v>
      </c>
      <c r="D32" s="37" t="s">
        <v>70</v>
      </c>
      <c r="E32" s="6">
        <v>2025</v>
      </c>
      <c r="F32" s="16"/>
      <c r="G32" s="10"/>
      <c r="H32" s="16"/>
      <c r="I32" s="10"/>
      <c r="J32" s="16"/>
      <c r="K32" s="10"/>
      <c r="L32" s="16"/>
      <c r="M32" s="10"/>
      <c r="N32" s="16"/>
      <c r="O32" s="10"/>
      <c r="P32" s="16"/>
      <c r="Q32" s="10"/>
      <c r="R32" s="16"/>
      <c r="S32" s="10"/>
      <c r="T32" s="16"/>
      <c r="U32" s="10"/>
      <c r="V32" s="16"/>
      <c r="W32" s="10"/>
      <c r="X32" s="16"/>
      <c r="Y32" s="10"/>
      <c r="Z32" s="16"/>
      <c r="AA32" s="10"/>
      <c r="AB32" s="16"/>
      <c r="AC32" s="10"/>
      <c r="AD32" s="16">
        <f t="shared" si="56"/>
        <v>0</v>
      </c>
      <c r="AE32" s="10"/>
      <c r="AF32" s="16">
        <f t="shared" si="48"/>
        <v>0</v>
      </c>
      <c r="AG32" s="16">
        <f t="shared" si="49"/>
        <v>0</v>
      </c>
      <c r="AH32" s="16">
        <f t="shared" si="50"/>
        <v>0</v>
      </c>
      <c r="AI32" s="18">
        <f t="shared" si="51"/>
        <v>0</v>
      </c>
      <c r="AJ32" s="14"/>
    </row>
    <row r="33" spans="1:36" x14ac:dyDescent="0.15">
      <c r="A33" s="5" t="s">
        <v>36</v>
      </c>
      <c r="B33" s="6" t="s">
        <v>37</v>
      </c>
      <c r="C33" s="7" t="s">
        <v>38</v>
      </c>
      <c r="D33" s="37" t="s">
        <v>71</v>
      </c>
      <c r="E33" s="6">
        <v>2025</v>
      </c>
      <c r="F33" s="16"/>
      <c r="G33" s="10"/>
      <c r="H33" s="16"/>
      <c r="I33" s="10"/>
      <c r="J33" s="16"/>
      <c r="K33" s="10"/>
      <c r="L33" s="16"/>
      <c r="M33" s="10"/>
      <c r="N33" s="16"/>
      <c r="O33" s="10"/>
      <c r="P33" s="16"/>
      <c r="Q33" s="10"/>
      <c r="R33" s="16"/>
      <c r="S33" s="10"/>
      <c r="T33" s="16"/>
      <c r="U33" s="10"/>
      <c r="V33" s="16"/>
      <c r="W33" s="10"/>
      <c r="X33" s="16"/>
      <c r="Y33" s="10"/>
      <c r="Z33" s="16"/>
      <c r="AA33" s="10"/>
      <c r="AB33" s="16"/>
      <c r="AC33" s="10"/>
      <c r="AD33" s="16">
        <f t="shared" si="56"/>
        <v>0</v>
      </c>
      <c r="AE33" s="10"/>
      <c r="AF33" s="16">
        <f t="shared" si="48"/>
        <v>0</v>
      </c>
      <c r="AG33" s="16">
        <f t="shared" si="49"/>
        <v>0</v>
      </c>
      <c r="AH33" s="16">
        <f t="shared" si="50"/>
        <v>0</v>
      </c>
      <c r="AI33" s="18">
        <f t="shared" si="51"/>
        <v>0</v>
      </c>
      <c r="AJ33" s="14"/>
    </row>
    <row r="34" spans="1:36" x14ac:dyDescent="0.15">
      <c r="A34" s="5" t="s">
        <v>36</v>
      </c>
      <c r="B34" s="6" t="s">
        <v>37</v>
      </c>
      <c r="C34" s="7" t="s">
        <v>38</v>
      </c>
      <c r="D34" s="37" t="s">
        <v>72</v>
      </c>
      <c r="E34" s="6">
        <v>2025</v>
      </c>
      <c r="F34" s="16"/>
      <c r="G34" s="10"/>
      <c r="H34" s="16"/>
      <c r="I34" s="10"/>
      <c r="J34" s="16"/>
      <c r="K34" s="10"/>
      <c r="L34" s="16"/>
      <c r="M34" s="10"/>
      <c r="N34" s="16"/>
      <c r="O34" s="10"/>
      <c r="P34" s="16"/>
      <c r="Q34" s="10"/>
      <c r="R34" s="16"/>
      <c r="S34" s="10"/>
      <c r="T34" s="16"/>
      <c r="U34" s="10"/>
      <c r="V34" s="16"/>
      <c r="W34" s="10"/>
      <c r="X34" s="16"/>
      <c r="Y34" s="10"/>
      <c r="Z34" s="16"/>
      <c r="AA34" s="10"/>
      <c r="AB34" s="16"/>
      <c r="AC34" s="10"/>
      <c r="AD34" s="16">
        <f t="shared" si="56"/>
        <v>0</v>
      </c>
      <c r="AE34" s="10"/>
      <c r="AF34" s="16">
        <f t="shared" si="48"/>
        <v>0</v>
      </c>
      <c r="AG34" s="16">
        <f t="shared" si="49"/>
        <v>0</v>
      </c>
      <c r="AH34" s="16">
        <f t="shared" si="50"/>
        <v>0</v>
      </c>
      <c r="AI34" s="18">
        <f t="shared" si="51"/>
        <v>0</v>
      </c>
      <c r="AJ34" s="14"/>
    </row>
    <row r="35" spans="1:36" s="33" customFormat="1" ht="16.5" x14ac:dyDescent="0.15">
      <c r="A35" s="5" t="s">
        <v>36</v>
      </c>
      <c r="B35" s="6" t="s">
        <v>37</v>
      </c>
      <c r="C35" s="7" t="s">
        <v>38</v>
      </c>
      <c r="D35" s="8" t="s">
        <v>73</v>
      </c>
      <c r="E35" s="6">
        <v>2025</v>
      </c>
      <c r="F35" s="26">
        <f t="shared" ref="F35:J35" si="57">SUM(F36:F49)</f>
        <v>0</v>
      </c>
      <c r="G35" s="10" t="str">
        <f t="shared" ref="G35:K35" si="58">IFERROR(F35/F$9,"")</f>
        <v/>
      </c>
      <c r="H35" s="26">
        <f t="shared" si="57"/>
        <v>0</v>
      </c>
      <c r="I35" s="10" t="str">
        <f t="shared" si="58"/>
        <v/>
      </c>
      <c r="J35" s="26">
        <f t="shared" si="57"/>
        <v>0</v>
      </c>
      <c r="K35" s="10" t="str">
        <f t="shared" si="58"/>
        <v/>
      </c>
      <c r="L35" s="26">
        <f t="shared" ref="L35:P35" si="59">SUM(L36:L49)</f>
        <v>0</v>
      </c>
      <c r="M35" s="10" t="str">
        <f t="shared" ref="M35:Q35" si="60">IFERROR(L35/L$9,"")</f>
        <v/>
      </c>
      <c r="N35" s="26">
        <f t="shared" si="59"/>
        <v>0</v>
      </c>
      <c r="O35" s="10" t="str">
        <f t="shared" si="60"/>
        <v/>
      </c>
      <c r="P35" s="26">
        <f t="shared" si="59"/>
        <v>0</v>
      </c>
      <c r="Q35" s="10" t="str">
        <f t="shared" si="60"/>
        <v/>
      </c>
      <c r="R35" s="26">
        <f t="shared" ref="R35:V35" si="61">SUM(R36:R49)</f>
        <v>0</v>
      </c>
      <c r="S35" s="10" t="str">
        <f t="shared" ref="S35:W35" si="62">IFERROR(R35/R$9,"")</f>
        <v/>
      </c>
      <c r="T35" s="26">
        <f t="shared" si="61"/>
        <v>0</v>
      </c>
      <c r="U35" s="10" t="str">
        <f t="shared" si="62"/>
        <v/>
      </c>
      <c r="V35" s="26">
        <f t="shared" si="61"/>
        <v>0</v>
      </c>
      <c r="W35" s="10" t="str">
        <f t="shared" si="62"/>
        <v/>
      </c>
      <c r="X35" s="26">
        <f t="shared" ref="X35:AB35" si="63">SUM(X36:X49)</f>
        <v>0</v>
      </c>
      <c r="Y35" s="10" t="str">
        <f t="shared" ref="Y35:AC35" si="64">IFERROR(X35/X$9,"")</f>
        <v/>
      </c>
      <c r="Z35" s="26">
        <f t="shared" si="63"/>
        <v>0</v>
      </c>
      <c r="AA35" s="10" t="str">
        <f t="shared" si="64"/>
        <v/>
      </c>
      <c r="AB35" s="26">
        <f t="shared" si="63"/>
        <v>0</v>
      </c>
      <c r="AC35" s="10" t="str">
        <f t="shared" si="64"/>
        <v/>
      </c>
      <c r="AD35" s="26">
        <f>SUM(AD36:AD49)</f>
        <v>0</v>
      </c>
      <c r="AE35" s="10" t="str">
        <f>IFERROR(AD35/AD$9,"")</f>
        <v/>
      </c>
      <c r="AF35" s="26">
        <f>SUM(AF36:AF49)</f>
        <v>0</v>
      </c>
      <c r="AG35" s="26">
        <f>SUM(AG36:AG49)</f>
        <v>0</v>
      </c>
      <c r="AH35" s="26">
        <f>SUM(AH36:AH49)</f>
        <v>0</v>
      </c>
      <c r="AI35" s="27">
        <f>SUM(AI36:AI49)</f>
        <v>0</v>
      </c>
      <c r="AJ35" s="14" t="s">
        <v>50</v>
      </c>
    </row>
    <row r="36" spans="1:36" x14ac:dyDescent="0.15">
      <c r="A36" s="5" t="s">
        <v>36</v>
      </c>
      <c r="B36" s="6" t="s">
        <v>37</v>
      </c>
      <c r="C36" s="7" t="s">
        <v>38</v>
      </c>
      <c r="D36" s="37" t="s">
        <v>74</v>
      </c>
      <c r="E36" s="6">
        <v>2025</v>
      </c>
      <c r="F36" s="16"/>
      <c r="G36" s="10"/>
      <c r="H36" s="16"/>
      <c r="I36" s="10"/>
      <c r="J36" s="16"/>
      <c r="K36" s="10"/>
      <c r="L36" s="16"/>
      <c r="M36" s="10"/>
      <c r="N36" s="16"/>
      <c r="O36" s="10"/>
      <c r="P36" s="16"/>
      <c r="Q36" s="10"/>
      <c r="R36" s="16"/>
      <c r="S36" s="10"/>
      <c r="T36" s="16"/>
      <c r="U36" s="10"/>
      <c r="V36" s="16"/>
      <c r="W36" s="10"/>
      <c r="X36" s="16"/>
      <c r="Y36" s="10"/>
      <c r="Z36" s="16"/>
      <c r="AA36" s="10"/>
      <c r="AB36" s="16"/>
      <c r="AC36" s="10"/>
      <c r="AD36" s="16">
        <f t="shared" ref="AD36:AD49" si="65">SUM(F36,H36,J36,L36,N36,P36,R36,T36,V36,X36,Z36,AB36)</f>
        <v>0</v>
      </c>
      <c r="AE36" s="10"/>
      <c r="AF36" s="16">
        <f t="shared" ref="AF36:AF49" si="66">SUM(F36,H36,J36)</f>
        <v>0</v>
      </c>
      <c r="AG36" s="16">
        <f t="shared" ref="AG36:AG49" si="67">SUM(L36,N36,P36)</f>
        <v>0</v>
      </c>
      <c r="AH36" s="16">
        <f t="shared" ref="AH36:AH49" si="68">SUM(R36,T36,V36)</f>
        <v>0</v>
      </c>
      <c r="AI36" s="18">
        <f t="shared" ref="AI36:AI49" si="69">SUM(X36,Z36,AB36)</f>
        <v>0</v>
      </c>
      <c r="AJ36" s="14"/>
    </row>
    <row r="37" spans="1:36" x14ac:dyDescent="0.15">
      <c r="A37" s="5" t="s">
        <v>36</v>
      </c>
      <c r="B37" s="6" t="s">
        <v>37</v>
      </c>
      <c r="C37" s="7" t="s">
        <v>38</v>
      </c>
      <c r="D37" s="37" t="s">
        <v>75</v>
      </c>
      <c r="E37" s="6">
        <v>2025</v>
      </c>
      <c r="F37" s="16"/>
      <c r="G37" s="10"/>
      <c r="H37" s="16"/>
      <c r="I37" s="10"/>
      <c r="J37" s="16"/>
      <c r="K37" s="10"/>
      <c r="L37" s="16"/>
      <c r="M37" s="10"/>
      <c r="N37" s="16"/>
      <c r="O37" s="10"/>
      <c r="P37" s="16"/>
      <c r="Q37" s="10"/>
      <c r="R37" s="16"/>
      <c r="S37" s="10"/>
      <c r="T37" s="16"/>
      <c r="U37" s="10"/>
      <c r="V37" s="16"/>
      <c r="W37" s="10"/>
      <c r="X37" s="16"/>
      <c r="Y37" s="10"/>
      <c r="Z37" s="16"/>
      <c r="AA37" s="10"/>
      <c r="AB37" s="16"/>
      <c r="AC37" s="10"/>
      <c r="AD37" s="16">
        <f t="shared" si="65"/>
        <v>0</v>
      </c>
      <c r="AE37" s="10"/>
      <c r="AF37" s="16">
        <f t="shared" si="66"/>
        <v>0</v>
      </c>
      <c r="AG37" s="16">
        <f t="shared" si="67"/>
        <v>0</v>
      </c>
      <c r="AH37" s="16">
        <f t="shared" si="68"/>
        <v>0</v>
      </c>
      <c r="AI37" s="18">
        <f t="shared" si="69"/>
        <v>0</v>
      </c>
      <c r="AJ37" s="14"/>
    </row>
    <row r="38" spans="1:36" x14ac:dyDescent="0.15">
      <c r="A38" s="5" t="s">
        <v>36</v>
      </c>
      <c r="B38" s="6" t="s">
        <v>37</v>
      </c>
      <c r="C38" s="7" t="s">
        <v>38</v>
      </c>
      <c r="D38" s="37" t="s">
        <v>76</v>
      </c>
      <c r="E38" s="6">
        <v>2025</v>
      </c>
      <c r="F38" s="16"/>
      <c r="G38" s="10"/>
      <c r="H38" s="16"/>
      <c r="I38" s="10"/>
      <c r="J38" s="16"/>
      <c r="K38" s="10"/>
      <c r="L38" s="16"/>
      <c r="M38" s="10"/>
      <c r="N38" s="16"/>
      <c r="O38" s="10"/>
      <c r="P38" s="16"/>
      <c r="Q38" s="10"/>
      <c r="R38" s="16"/>
      <c r="S38" s="10"/>
      <c r="T38" s="16"/>
      <c r="U38" s="10"/>
      <c r="V38" s="16"/>
      <c r="W38" s="10"/>
      <c r="X38" s="16"/>
      <c r="Y38" s="10"/>
      <c r="Z38" s="16"/>
      <c r="AA38" s="10"/>
      <c r="AB38" s="16"/>
      <c r="AC38" s="10"/>
      <c r="AD38" s="16">
        <f t="shared" si="65"/>
        <v>0</v>
      </c>
      <c r="AE38" s="10"/>
      <c r="AF38" s="16">
        <f t="shared" si="66"/>
        <v>0</v>
      </c>
      <c r="AG38" s="16">
        <f t="shared" si="67"/>
        <v>0</v>
      </c>
      <c r="AH38" s="16">
        <f t="shared" si="68"/>
        <v>0</v>
      </c>
      <c r="AI38" s="18">
        <f t="shared" si="69"/>
        <v>0</v>
      </c>
      <c r="AJ38" s="14"/>
    </row>
    <row r="39" spans="1:36" x14ac:dyDescent="0.15">
      <c r="A39" s="5" t="s">
        <v>36</v>
      </c>
      <c r="B39" s="6" t="s">
        <v>37</v>
      </c>
      <c r="C39" s="7" t="s">
        <v>38</v>
      </c>
      <c r="D39" s="37" t="s">
        <v>77</v>
      </c>
      <c r="E39" s="6">
        <v>2025</v>
      </c>
      <c r="F39" s="16"/>
      <c r="G39" s="10"/>
      <c r="H39" s="16"/>
      <c r="I39" s="10"/>
      <c r="J39" s="16"/>
      <c r="K39" s="10"/>
      <c r="L39" s="16"/>
      <c r="M39" s="10"/>
      <c r="N39" s="16"/>
      <c r="O39" s="10"/>
      <c r="P39" s="16"/>
      <c r="Q39" s="10"/>
      <c r="R39" s="16"/>
      <c r="S39" s="10"/>
      <c r="T39" s="16"/>
      <c r="U39" s="10"/>
      <c r="V39" s="16"/>
      <c r="W39" s="10"/>
      <c r="X39" s="16"/>
      <c r="Y39" s="10"/>
      <c r="Z39" s="16"/>
      <c r="AA39" s="10"/>
      <c r="AB39" s="16"/>
      <c r="AC39" s="10"/>
      <c r="AD39" s="16">
        <f t="shared" si="65"/>
        <v>0</v>
      </c>
      <c r="AE39" s="10"/>
      <c r="AF39" s="16">
        <f t="shared" si="66"/>
        <v>0</v>
      </c>
      <c r="AG39" s="16">
        <f t="shared" si="67"/>
        <v>0</v>
      </c>
      <c r="AH39" s="16">
        <f t="shared" si="68"/>
        <v>0</v>
      </c>
      <c r="AI39" s="18">
        <f t="shared" si="69"/>
        <v>0</v>
      </c>
      <c r="AJ39" s="14"/>
    </row>
    <row r="40" spans="1:36" x14ac:dyDescent="0.15">
      <c r="A40" s="5" t="s">
        <v>36</v>
      </c>
      <c r="B40" s="6" t="s">
        <v>37</v>
      </c>
      <c r="C40" s="7" t="s">
        <v>38</v>
      </c>
      <c r="D40" s="37" t="s">
        <v>78</v>
      </c>
      <c r="E40" s="6">
        <v>2025</v>
      </c>
      <c r="F40" s="16"/>
      <c r="G40" s="10"/>
      <c r="H40" s="16"/>
      <c r="I40" s="10"/>
      <c r="J40" s="16"/>
      <c r="K40" s="10"/>
      <c r="L40" s="16"/>
      <c r="M40" s="10"/>
      <c r="N40" s="16"/>
      <c r="O40" s="10"/>
      <c r="P40" s="16"/>
      <c r="Q40" s="10"/>
      <c r="R40" s="16"/>
      <c r="S40" s="10"/>
      <c r="T40" s="16"/>
      <c r="U40" s="10"/>
      <c r="V40" s="16"/>
      <c r="W40" s="10"/>
      <c r="X40" s="16"/>
      <c r="Y40" s="10"/>
      <c r="Z40" s="16"/>
      <c r="AA40" s="10"/>
      <c r="AB40" s="16"/>
      <c r="AC40" s="10"/>
      <c r="AD40" s="16">
        <f t="shared" si="65"/>
        <v>0</v>
      </c>
      <c r="AE40" s="10"/>
      <c r="AF40" s="16">
        <f t="shared" si="66"/>
        <v>0</v>
      </c>
      <c r="AG40" s="16">
        <f t="shared" si="67"/>
        <v>0</v>
      </c>
      <c r="AH40" s="16">
        <f t="shared" si="68"/>
        <v>0</v>
      </c>
      <c r="AI40" s="18">
        <f t="shared" si="69"/>
        <v>0</v>
      </c>
      <c r="AJ40" s="14"/>
    </row>
    <row r="41" spans="1:36" x14ac:dyDescent="0.15">
      <c r="A41" s="5" t="s">
        <v>36</v>
      </c>
      <c r="B41" s="6" t="s">
        <v>37</v>
      </c>
      <c r="C41" s="7" t="s">
        <v>38</v>
      </c>
      <c r="D41" s="37" t="s">
        <v>79</v>
      </c>
      <c r="E41" s="6">
        <v>2025</v>
      </c>
      <c r="F41" s="16"/>
      <c r="G41" s="10"/>
      <c r="H41" s="16"/>
      <c r="I41" s="10"/>
      <c r="J41" s="16"/>
      <c r="K41" s="10"/>
      <c r="L41" s="16"/>
      <c r="M41" s="10"/>
      <c r="N41" s="16"/>
      <c r="O41" s="10"/>
      <c r="P41" s="16"/>
      <c r="Q41" s="10"/>
      <c r="R41" s="16"/>
      <c r="S41" s="10"/>
      <c r="T41" s="16"/>
      <c r="U41" s="10"/>
      <c r="V41" s="16"/>
      <c r="W41" s="10"/>
      <c r="X41" s="16"/>
      <c r="Y41" s="10"/>
      <c r="Z41" s="16"/>
      <c r="AA41" s="10"/>
      <c r="AB41" s="16"/>
      <c r="AC41" s="10"/>
      <c r="AD41" s="16">
        <f t="shared" si="65"/>
        <v>0</v>
      </c>
      <c r="AE41" s="10"/>
      <c r="AF41" s="16">
        <f t="shared" si="66"/>
        <v>0</v>
      </c>
      <c r="AG41" s="16">
        <f t="shared" si="67"/>
        <v>0</v>
      </c>
      <c r="AH41" s="16">
        <f t="shared" si="68"/>
        <v>0</v>
      </c>
      <c r="AI41" s="18">
        <f t="shared" si="69"/>
        <v>0</v>
      </c>
      <c r="AJ41" s="14"/>
    </row>
    <row r="42" spans="1:36" x14ac:dyDescent="0.15">
      <c r="A42" s="5" t="s">
        <v>36</v>
      </c>
      <c r="B42" s="6" t="s">
        <v>37</v>
      </c>
      <c r="C42" s="7" t="s">
        <v>38</v>
      </c>
      <c r="D42" s="37" t="s">
        <v>80</v>
      </c>
      <c r="E42" s="6">
        <v>2025</v>
      </c>
      <c r="F42" s="16"/>
      <c r="G42" s="10"/>
      <c r="H42" s="16"/>
      <c r="I42" s="10"/>
      <c r="J42" s="16"/>
      <c r="K42" s="10"/>
      <c r="L42" s="16"/>
      <c r="M42" s="10"/>
      <c r="N42" s="16"/>
      <c r="O42" s="10"/>
      <c r="P42" s="16"/>
      <c r="Q42" s="10"/>
      <c r="R42" s="16"/>
      <c r="S42" s="10"/>
      <c r="T42" s="16"/>
      <c r="U42" s="10"/>
      <c r="V42" s="16"/>
      <c r="W42" s="10"/>
      <c r="X42" s="16"/>
      <c r="Y42" s="10"/>
      <c r="Z42" s="16"/>
      <c r="AA42" s="10"/>
      <c r="AB42" s="16"/>
      <c r="AC42" s="10"/>
      <c r="AD42" s="16">
        <f t="shared" si="65"/>
        <v>0</v>
      </c>
      <c r="AE42" s="10"/>
      <c r="AF42" s="16">
        <f t="shared" si="66"/>
        <v>0</v>
      </c>
      <c r="AG42" s="16">
        <f t="shared" si="67"/>
        <v>0</v>
      </c>
      <c r="AH42" s="16">
        <f t="shared" si="68"/>
        <v>0</v>
      </c>
      <c r="AI42" s="18">
        <f t="shared" si="69"/>
        <v>0</v>
      </c>
      <c r="AJ42" s="14"/>
    </row>
    <row r="43" spans="1:36" x14ac:dyDescent="0.15">
      <c r="A43" s="5" t="s">
        <v>36</v>
      </c>
      <c r="B43" s="6" t="s">
        <v>37</v>
      </c>
      <c r="C43" s="7" t="s">
        <v>38</v>
      </c>
      <c r="D43" s="37" t="s">
        <v>81</v>
      </c>
      <c r="E43" s="6">
        <v>2025</v>
      </c>
      <c r="F43" s="16"/>
      <c r="G43" s="10"/>
      <c r="H43" s="16"/>
      <c r="I43" s="10"/>
      <c r="J43" s="16"/>
      <c r="K43" s="10"/>
      <c r="L43" s="16"/>
      <c r="M43" s="10"/>
      <c r="N43" s="16"/>
      <c r="O43" s="10"/>
      <c r="P43" s="16"/>
      <c r="Q43" s="10"/>
      <c r="R43" s="16"/>
      <c r="S43" s="10"/>
      <c r="T43" s="16"/>
      <c r="U43" s="10"/>
      <c r="V43" s="16"/>
      <c r="W43" s="10"/>
      <c r="X43" s="16"/>
      <c r="Y43" s="10"/>
      <c r="Z43" s="16"/>
      <c r="AA43" s="10"/>
      <c r="AB43" s="16"/>
      <c r="AC43" s="10"/>
      <c r="AD43" s="16">
        <f t="shared" si="65"/>
        <v>0</v>
      </c>
      <c r="AE43" s="10"/>
      <c r="AF43" s="16">
        <f t="shared" si="66"/>
        <v>0</v>
      </c>
      <c r="AG43" s="16">
        <f t="shared" si="67"/>
        <v>0</v>
      </c>
      <c r="AH43" s="16">
        <f t="shared" si="68"/>
        <v>0</v>
      </c>
      <c r="AI43" s="18">
        <f t="shared" si="69"/>
        <v>0</v>
      </c>
      <c r="AJ43" s="14"/>
    </row>
    <row r="44" spans="1:36" x14ac:dyDescent="0.15">
      <c r="A44" s="5" t="s">
        <v>36</v>
      </c>
      <c r="B44" s="6" t="s">
        <v>37</v>
      </c>
      <c r="C44" s="7" t="s">
        <v>38</v>
      </c>
      <c r="D44" s="37" t="s">
        <v>82</v>
      </c>
      <c r="E44" s="6">
        <v>2025</v>
      </c>
      <c r="F44" s="16"/>
      <c r="G44" s="10"/>
      <c r="H44" s="16"/>
      <c r="I44" s="10"/>
      <c r="J44" s="16"/>
      <c r="K44" s="10"/>
      <c r="L44" s="16"/>
      <c r="M44" s="10"/>
      <c r="N44" s="16"/>
      <c r="O44" s="10"/>
      <c r="P44" s="16"/>
      <c r="Q44" s="10"/>
      <c r="R44" s="16"/>
      <c r="S44" s="10"/>
      <c r="T44" s="16"/>
      <c r="U44" s="10"/>
      <c r="V44" s="16"/>
      <c r="W44" s="10"/>
      <c r="X44" s="16"/>
      <c r="Y44" s="10"/>
      <c r="Z44" s="16"/>
      <c r="AA44" s="10"/>
      <c r="AB44" s="16"/>
      <c r="AC44" s="10"/>
      <c r="AD44" s="16">
        <f t="shared" si="65"/>
        <v>0</v>
      </c>
      <c r="AE44" s="10"/>
      <c r="AF44" s="16">
        <f t="shared" si="66"/>
        <v>0</v>
      </c>
      <c r="AG44" s="16">
        <f t="shared" si="67"/>
        <v>0</v>
      </c>
      <c r="AH44" s="16">
        <f t="shared" si="68"/>
        <v>0</v>
      </c>
      <c r="AI44" s="18">
        <f t="shared" si="69"/>
        <v>0</v>
      </c>
      <c r="AJ44" s="14"/>
    </row>
    <row r="45" spans="1:36" x14ac:dyDescent="0.15">
      <c r="A45" s="5" t="s">
        <v>36</v>
      </c>
      <c r="B45" s="6" t="s">
        <v>37</v>
      </c>
      <c r="C45" s="7" t="s">
        <v>38</v>
      </c>
      <c r="D45" s="37" t="s">
        <v>83</v>
      </c>
      <c r="E45" s="6">
        <v>2025</v>
      </c>
      <c r="F45" s="16"/>
      <c r="G45" s="10"/>
      <c r="H45" s="16"/>
      <c r="I45" s="10"/>
      <c r="J45" s="16"/>
      <c r="K45" s="10"/>
      <c r="L45" s="16"/>
      <c r="M45" s="10"/>
      <c r="N45" s="16"/>
      <c r="O45" s="10"/>
      <c r="P45" s="16"/>
      <c r="Q45" s="10"/>
      <c r="R45" s="16"/>
      <c r="S45" s="10"/>
      <c r="T45" s="16"/>
      <c r="U45" s="10"/>
      <c r="V45" s="16"/>
      <c r="W45" s="10"/>
      <c r="X45" s="16"/>
      <c r="Y45" s="10"/>
      <c r="Z45" s="16"/>
      <c r="AA45" s="10"/>
      <c r="AB45" s="16"/>
      <c r="AC45" s="10"/>
      <c r="AD45" s="16">
        <f t="shared" si="65"/>
        <v>0</v>
      </c>
      <c r="AE45" s="10"/>
      <c r="AF45" s="16">
        <f t="shared" si="66"/>
        <v>0</v>
      </c>
      <c r="AG45" s="16">
        <f t="shared" si="67"/>
        <v>0</v>
      </c>
      <c r="AH45" s="16">
        <f t="shared" si="68"/>
        <v>0</v>
      </c>
      <c r="AI45" s="18">
        <f t="shared" si="69"/>
        <v>0</v>
      </c>
      <c r="AJ45" s="14"/>
    </row>
    <row r="46" spans="1:36" x14ac:dyDescent="0.15">
      <c r="A46" s="5" t="s">
        <v>36</v>
      </c>
      <c r="B46" s="6" t="s">
        <v>37</v>
      </c>
      <c r="C46" s="7" t="s">
        <v>38</v>
      </c>
      <c r="D46" s="37" t="s">
        <v>84</v>
      </c>
      <c r="E46" s="6">
        <v>2025</v>
      </c>
      <c r="F46" s="16"/>
      <c r="G46" s="10"/>
      <c r="H46" s="16"/>
      <c r="I46" s="10"/>
      <c r="J46" s="16"/>
      <c r="K46" s="10"/>
      <c r="L46" s="16"/>
      <c r="M46" s="10"/>
      <c r="N46" s="16"/>
      <c r="O46" s="10"/>
      <c r="P46" s="16"/>
      <c r="Q46" s="10"/>
      <c r="R46" s="16"/>
      <c r="S46" s="10"/>
      <c r="T46" s="16"/>
      <c r="U46" s="10"/>
      <c r="V46" s="16"/>
      <c r="W46" s="10"/>
      <c r="X46" s="16"/>
      <c r="Y46" s="10"/>
      <c r="Z46" s="16"/>
      <c r="AA46" s="10"/>
      <c r="AB46" s="16"/>
      <c r="AC46" s="10"/>
      <c r="AD46" s="16">
        <f t="shared" si="65"/>
        <v>0</v>
      </c>
      <c r="AE46" s="10"/>
      <c r="AF46" s="16">
        <f t="shared" si="66"/>
        <v>0</v>
      </c>
      <c r="AG46" s="16">
        <f t="shared" si="67"/>
        <v>0</v>
      </c>
      <c r="AH46" s="16">
        <f t="shared" si="68"/>
        <v>0</v>
      </c>
      <c r="AI46" s="18">
        <f t="shared" si="69"/>
        <v>0</v>
      </c>
      <c r="AJ46" s="14"/>
    </row>
    <row r="47" spans="1:36" x14ac:dyDescent="0.15">
      <c r="A47" s="5" t="s">
        <v>36</v>
      </c>
      <c r="B47" s="6" t="s">
        <v>37</v>
      </c>
      <c r="C47" s="7" t="s">
        <v>38</v>
      </c>
      <c r="D47" s="37" t="s">
        <v>85</v>
      </c>
      <c r="E47" s="6">
        <v>2025</v>
      </c>
      <c r="F47" s="16"/>
      <c r="G47" s="10"/>
      <c r="H47" s="16"/>
      <c r="I47" s="10"/>
      <c r="J47" s="16"/>
      <c r="K47" s="10"/>
      <c r="L47" s="16"/>
      <c r="M47" s="10"/>
      <c r="N47" s="16"/>
      <c r="O47" s="10"/>
      <c r="P47" s="16"/>
      <c r="Q47" s="10"/>
      <c r="R47" s="16"/>
      <c r="S47" s="10"/>
      <c r="T47" s="16"/>
      <c r="U47" s="10"/>
      <c r="V47" s="16"/>
      <c r="W47" s="10"/>
      <c r="X47" s="16"/>
      <c r="Y47" s="10"/>
      <c r="Z47" s="16"/>
      <c r="AA47" s="10"/>
      <c r="AB47" s="16"/>
      <c r="AC47" s="10"/>
      <c r="AD47" s="16">
        <f t="shared" si="65"/>
        <v>0</v>
      </c>
      <c r="AE47" s="10"/>
      <c r="AF47" s="16">
        <f t="shared" si="66"/>
        <v>0</v>
      </c>
      <c r="AG47" s="16">
        <f t="shared" si="67"/>
        <v>0</v>
      </c>
      <c r="AH47" s="16">
        <f t="shared" si="68"/>
        <v>0</v>
      </c>
      <c r="AI47" s="18">
        <f t="shared" si="69"/>
        <v>0</v>
      </c>
      <c r="AJ47" s="14"/>
    </row>
    <row r="48" spans="1:36" x14ac:dyDescent="0.15">
      <c r="A48" s="5" t="s">
        <v>36</v>
      </c>
      <c r="B48" s="6" t="s">
        <v>37</v>
      </c>
      <c r="C48" s="7" t="s">
        <v>38</v>
      </c>
      <c r="D48" s="37" t="s">
        <v>86</v>
      </c>
      <c r="E48" s="6">
        <v>2025</v>
      </c>
      <c r="F48" s="16"/>
      <c r="G48" s="10"/>
      <c r="H48" s="16"/>
      <c r="I48" s="10"/>
      <c r="J48" s="16"/>
      <c r="K48" s="10"/>
      <c r="L48" s="16"/>
      <c r="M48" s="10"/>
      <c r="N48" s="16"/>
      <c r="O48" s="10"/>
      <c r="P48" s="16"/>
      <c r="Q48" s="10"/>
      <c r="R48" s="16"/>
      <c r="S48" s="10"/>
      <c r="T48" s="16"/>
      <c r="U48" s="10"/>
      <c r="V48" s="16"/>
      <c r="W48" s="10"/>
      <c r="X48" s="16"/>
      <c r="Y48" s="10"/>
      <c r="Z48" s="16"/>
      <c r="AA48" s="10"/>
      <c r="AB48" s="16"/>
      <c r="AC48" s="10"/>
      <c r="AD48" s="16">
        <f t="shared" si="65"/>
        <v>0</v>
      </c>
      <c r="AE48" s="10"/>
      <c r="AF48" s="16">
        <f t="shared" si="66"/>
        <v>0</v>
      </c>
      <c r="AG48" s="16">
        <f t="shared" si="67"/>
        <v>0</v>
      </c>
      <c r="AH48" s="16">
        <f t="shared" si="68"/>
        <v>0</v>
      </c>
      <c r="AI48" s="18">
        <f t="shared" si="69"/>
        <v>0</v>
      </c>
      <c r="AJ48" s="14"/>
    </row>
    <row r="49" spans="1:36" x14ac:dyDescent="0.15">
      <c r="A49" s="5" t="s">
        <v>36</v>
      </c>
      <c r="B49" s="6" t="s">
        <v>37</v>
      </c>
      <c r="C49" s="7" t="s">
        <v>38</v>
      </c>
      <c r="D49" s="37" t="s">
        <v>87</v>
      </c>
      <c r="E49" s="6">
        <v>2025</v>
      </c>
      <c r="F49" s="16"/>
      <c r="G49" s="10"/>
      <c r="H49" s="16"/>
      <c r="I49" s="10"/>
      <c r="J49" s="16"/>
      <c r="K49" s="10"/>
      <c r="L49" s="16"/>
      <c r="M49" s="10"/>
      <c r="N49" s="16"/>
      <c r="O49" s="10"/>
      <c r="P49" s="16"/>
      <c r="Q49" s="10"/>
      <c r="R49" s="16"/>
      <c r="S49" s="10"/>
      <c r="T49" s="16"/>
      <c r="U49" s="10"/>
      <c r="V49" s="16"/>
      <c r="W49" s="10"/>
      <c r="X49" s="16"/>
      <c r="Y49" s="10"/>
      <c r="Z49" s="16"/>
      <c r="AA49" s="10"/>
      <c r="AB49" s="16"/>
      <c r="AC49" s="10"/>
      <c r="AD49" s="16">
        <f t="shared" si="65"/>
        <v>0</v>
      </c>
      <c r="AE49" s="10"/>
      <c r="AF49" s="16">
        <f t="shared" si="66"/>
        <v>0</v>
      </c>
      <c r="AG49" s="16">
        <f t="shared" si="67"/>
        <v>0</v>
      </c>
      <c r="AH49" s="16">
        <f t="shared" si="68"/>
        <v>0</v>
      </c>
      <c r="AI49" s="18">
        <f t="shared" si="69"/>
        <v>0</v>
      </c>
      <c r="AJ49" s="14"/>
    </row>
    <row r="50" spans="1:36" s="33" customFormat="1" ht="16.5" x14ac:dyDescent="0.15">
      <c r="A50" s="5" t="s">
        <v>36</v>
      </c>
      <c r="B50" s="6" t="s">
        <v>37</v>
      </c>
      <c r="C50" s="7" t="s">
        <v>38</v>
      </c>
      <c r="D50" s="8" t="s">
        <v>88</v>
      </c>
      <c r="E50" s="6">
        <v>2025</v>
      </c>
      <c r="F50" s="26">
        <f t="shared" ref="F50:J50" si="70">SUM(F51:F57)</f>
        <v>0</v>
      </c>
      <c r="G50" s="10" t="str">
        <f t="shared" ref="G50:K50" si="71">IFERROR(F50/F$9,"")</f>
        <v/>
      </c>
      <c r="H50" s="26">
        <f t="shared" si="70"/>
        <v>0</v>
      </c>
      <c r="I50" s="10" t="str">
        <f t="shared" si="71"/>
        <v/>
      </c>
      <c r="J50" s="26">
        <f t="shared" si="70"/>
        <v>0</v>
      </c>
      <c r="K50" s="10" t="str">
        <f t="shared" si="71"/>
        <v/>
      </c>
      <c r="L50" s="26">
        <f t="shared" ref="L50:P50" si="72">SUM(L51:L57)</f>
        <v>0</v>
      </c>
      <c r="M50" s="10" t="str">
        <f t="shared" ref="M50:Q50" si="73">IFERROR(L50/L$9,"")</f>
        <v/>
      </c>
      <c r="N50" s="26">
        <f t="shared" si="72"/>
        <v>0</v>
      </c>
      <c r="O50" s="10" t="str">
        <f t="shared" si="73"/>
        <v/>
      </c>
      <c r="P50" s="26">
        <f t="shared" si="72"/>
        <v>0</v>
      </c>
      <c r="Q50" s="10" t="str">
        <f t="shared" si="73"/>
        <v/>
      </c>
      <c r="R50" s="26">
        <f t="shared" ref="R50:V50" si="74">SUM(R51:R57)</f>
        <v>0</v>
      </c>
      <c r="S50" s="10" t="str">
        <f t="shared" ref="S50:W50" si="75">IFERROR(R50/R$9,"")</f>
        <v/>
      </c>
      <c r="T50" s="26">
        <f t="shared" si="74"/>
        <v>0</v>
      </c>
      <c r="U50" s="10" t="str">
        <f t="shared" si="75"/>
        <v/>
      </c>
      <c r="V50" s="26">
        <f t="shared" si="74"/>
        <v>0</v>
      </c>
      <c r="W50" s="10" t="str">
        <f t="shared" si="75"/>
        <v/>
      </c>
      <c r="X50" s="26">
        <f t="shared" ref="X50:AB50" si="76">SUM(X51:X57)</f>
        <v>0</v>
      </c>
      <c r="Y50" s="10" t="str">
        <f t="shared" ref="Y50:AC50" si="77">IFERROR(X50/X$9,"")</f>
        <v/>
      </c>
      <c r="Z50" s="26">
        <f t="shared" si="76"/>
        <v>0</v>
      </c>
      <c r="AA50" s="10" t="str">
        <f t="shared" si="77"/>
        <v/>
      </c>
      <c r="AB50" s="26">
        <f t="shared" si="76"/>
        <v>0</v>
      </c>
      <c r="AC50" s="10" t="str">
        <f t="shared" si="77"/>
        <v/>
      </c>
      <c r="AD50" s="26">
        <f>SUM(AD51:AD57)</f>
        <v>0</v>
      </c>
      <c r="AE50" s="10" t="str">
        <f>IFERROR(AD50/AD$9,"")</f>
        <v/>
      </c>
      <c r="AF50" s="26">
        <f>SUM(AF51:AF57)</f>
        <v>0</v>
      </c>
      <c r="AG50" s="26">
        <f>SUM(AG51:AG57)</f>
        <v>0</v>
      </c>
      <c r="AH50" s="26">
        <f>SUM(AH51:AH57)</f>
        <v>0</v>
      </c>
      <c r="AI50" s="27">
        <f>SUM(AI51:AI57)</f>
        <v>0</v>
      </c>
      <c r="AJ50" s="14" t="s">
        <v>50</v>
      </c>
    </row>
    <row r="51" spans="1:36" x14ac:dyDescent="0.15">
      <c r="A51" s="5" t="s">
        <v>36</v>
      </c>
      <c r="B51" s="6" t="s">
        <v>37</v>
      </c>
      <c r="C51" s="7" t="s">
        <v>38</v>
      </c>
      <c r="D51" s="37" t="s">
        <v>89</v>
      </c>
      <c r="E51" s="6">
        <v>2025</v>
      </c>
      <c r="F51" s="16"/>
      <c r="G51" s="10"/>
      <c r="H51" s="16"/>
      <c r="I51" s="10"/>
      <c r="J51" s="16"/>
      <c r="K51" s="10"/>
      <c r="L51" s="16"/>
      <c r="M51" s="10"/>
      <c r="N51" s="16"/>
      <c r="O51" s="10"/>
      <c r="P51" s="16"/>
      <c r="Q51" s="10"/>
      <c r="R51" s="16"/>
      <c r="S51" s="10"/>
      <c r="T51" s="16"/>
      <c r="U51" s="10"/>
      <c r="V51" s="16"/>
      <c r="W51" s="10"/>
      <c r="X51" s="16"/>
      <c r="Y51" s="10"/>
      <c r="Z51" s="16"/>
      <c r="AA51" s="10"/>
      <c r="AB51" s="16"/>
      <c r="AC51" s="10"/>
      <c r="AD51" s="16">
        <f t="shared" ref="AD51:AD57" si="78">SUM(F51,H51,J51,L51,N51,P51,R51,T51,V51,X51,Z51,AB51)</f>
        <v>0</v>
      </c>
      <c r="AE51" s="10"/>
      <c r="AF51" s="16">
        <f t="shared" ref="AF51:AF57" si="79">SUM(F51,H51,J51)</f>
        <v>0</v>
      </c>
      <c r="AG51" s="16">
        <f t="shared" ref="AG51:AG57" si="80">SUM(L51,N51,P51)</f>
        <v>0</v>
      </c>
      <c r="AH51" s="16">
        <f t="shared" ref="AH51:AH57" si="81">SUM(R51,T51,V51)</f>
        <v>0</v>
      </c>
      <c r="AI51" s="18">
        <f t="shared" ref="AI51:AI57" si="82">SUM(X51,Z51,AB51)</f>
        <v>0</v>
      </c>
      <c r="AJ51" s="14"/>
    </row>
    <row r="52" spans="1:36" x14ac:dyDescent="0.15">
      <c r="A52" s="5" t="s">
        <v>36</v>
      </c>
      <c r="B52" s="6" t="s">
        <v>37</v>
      </c>
      <c r="C52" s="7" t="s">
        <v>38</v>
      </c>
      <c r="D52" s="37" t="s">
        <v>90</v>
      </c>
      <c r="E52" s="6">
        <v>2025</v>
      </c>
      <c r="F52" s="16"/>
      <c r="G52" s="10"/>
      <c r="H52" s="16"/>
      <c r="I52" s="10"/>
      <c r="J52" s="16"/>
      <c r="K52" s="10"/>
      <c r="L52" s="16"/>
      <c r="M52" s="10"/>
      <c r="N52" s="16"/>
      <c r="O52" s="10"/>
      <c r="P52" s="16"/>
      <c r="Q52" s="10"/>
      <c r="R52" s="16"/>
      <c r="S52" s="10"/>
      <c r="T52" s="16"/>
      <c r="U52" s="10"/>
      <c r="V52" s="16"/>
      <c r="W52" s="10"/>
      <c r="X52" s="16"/>
      <c r="Y52" s="10"/>
      <c r="Z52" s="16"/>
      <c r="AA52" s="10"/>
      <c r="AB52" s="16"/>
      <c r="AC52" s="10"/>
      <c r="AD52" s="16">
        <f t="shared" si="78"/>
        <v>0</v>
      </c>
      <c r="AE52" s="10"/>
      <c r="AF52" s="16">
        <f t="shared" si="79"/>
        <v>0</v>
      </c>
      <c r="AG52" s="16">
        <f t="shared" si="80"/>
        <v>0</v>
      </c>
      <c r="AH52" s="16">
        <f t="shared" si="81"/>
        <v>0</v>
      </c>
      <c r="AI52" s="18">
        <f t="shared" si="82"/>
        <v>0</v>
      </c>
      <c r="AJ52" s="14"/>
    </row>
    <row r="53" spans="1:36" x14ac:dyDescent="0.15">
      <c r="A53" s="5" t="s">
        <v>36</v>
      </c>
      <c r="B53" s="6" t="s">
        <v>37</v>
      </c>
      <c r="C53" s="7" t="s">
        <v>38</v>
      </c>
      <c r="D53" s="37" t="s">
        <v>91</v>
      </c>
      <c r="E53" s="6">
        <v>2025</v>
      </c>
      <c r="F53" s="16"/>
      <c r="G53" s="10"/>
      <c r="H53" s="16"/>
      <c r="I53" s="10"/>
      <c r="J53" s="16"/>
      <c r="K53" s="10"/>
      <c r="L53" s="16"/>
      <c r="M53" s="10"/>
      <c r="N53" s="16"/>
      <c r="O53" s="10"/>
      <c r="P53" s="16"/>
      <c r="Q53" s="10"/>
      <c r="R53" s="16"/>
      <c r="S53" s="10"/>
      <c r="T53" s="16"/>
      <c r="U53" s="10"/>
      <c r="V53" s="16"/>
      <c r="W53" s="10"/>
      <c r="X53" s="16"/>
      <c r="Y53" s="10"/>
      <c r="Z53" s="16"/>
      <c r="AA53" s="10"/>
      <c r="AB53" s="16"/>
      <c r="AC53" s="10"/>
      <c r="AD53" s="16">
        <f t="shared" si="78"/>
        <v>0</v>
      </c>
      <c r="AE53" s="10"/>
      <c r="AF53" s="16">
        <f t="shared" si="79"/>
        <v>0</v>
      </c>
      <c r="AG53" s="16">
        <f t="shared" si="80"/>
        <v>0</v>
      </c>
      <c r="AH53" s="16">
        <f t="shared" si="81"/>
        <v>0</v>
      </c>
      <c r="AI53" s="18">
        <f t="shared" si="82"/>
        <v>0</v>
      </c>
      <c r="AJ53" s="14"/>
    </row>
    <row r="54" spans="1:36" x14ac:dyDescent="0.15">
      <c r="A54" s="5" t="s">
        <v>36</v>
      </c>
      <c r="B54" s="6" t="s">
        <v>37</v>
      </c>
      <c r="C54" s="7" t="s">
        <v>38</v>
      </c>
      <c r="D54" s="37" t="s">
        <v>92</v>
      </c>
      <c r="E54" s="6">
        <v>2025</v>
      </c>
      <c r="F54" s="16"/>
      <c r="G54" s="10"/>
      <c r="H54" s="16"/>
      <c r="I54" s="10"/>
      <c r="J54" s="16"/>
      <c r="K54" s="10"/>
      <c r="L54" s="16"/>
      <c r="M54" s="10"/>
      <c r="N54" s="16"/>
      <c r="O54" s="10"/>
      <c r="P54" s="16"/>
      <c r="Q54" s="10"/>
      <c r="R54" s="16"/>
      <c r="S54" s="10"/>
      <c r="T54" s="16"/>
      <c r="U54" s="10"/>
      <c r="V54" s="16"/>
      <c r="W54" s="10"/>
      <c r="X54" s="16"/>
      <c r="Y54" s="10"/>
      <c r="Z54" s="16"/>
      <c r="AA54" s="10"/>
      <c r="AB54" s="16"/>
      <c r="AC54" s="10"/>
      <c r="AD54" s="16">
        <f t="shared" si="78"/>
        <v>0</v>
      </c>
      <c r="AE54" s="10"/>
      <c r="AF54" s="16">
        <f t="shared" si="79"/>
        <v>0</v>
      </c>
      <c r="AG54" s="16">
        <f t="shared" si="80"/>
        <v>0</v>
      </c>
      <c r="AH54" s="16">
        <f t="shared" si="81"/>
        <v>0</v>
      </c>
      <c r="AI54" s="18">
        <f t="shared" si="82"/>
        <v>0</v>
      </c>
      <c r="AJ54" s="14"/>
    </row>
    <row r="55" spans="1:36" x14ac:dyDescent="0.15">
      <c r="A55" s="5" t="s">
        <v>36</v>
      </c>
      <c r="B55" s="6" t="s">
        <v>37</v>
      </c>
      <c r="C55" s="7" t="s">
        <v>38</v>
      </c>
      <c r="D55" s="37" t="s">
        <v>93</v>
      </c>
      <c r="E55" s="6">
        <v>2025</v>
      </c>
      <c r="F55" s="16"/>
      <c r="G55" s="10"/>
      <c r="H55" s="16"/>
      <c r="I55" s="10"/>
      <c r="J55" s="16"/>
      <c r="K55" s="10"/>
      <c r="L55" s="16"/>
      <c r="M55" s="10"/>
      <c r="N55" s="16"/>
      <c r="O55" s="10"/>
      <c r="P55" s="16"/>
      <c r="Q55" s="10"/>
      <c r="R55" s="16"/>
      <c r="S55" s="10"/>
      <c r="T55" s="16"/>
      <c r="U55" s="10"/>
      <c r="V55" s="16"/>
      <c r="W55" s="10"/>
      <c r="X55" s="16"/>
      <c r="Y55" s="10"/>
      <c r="Z55" s="16"/>
      <c r="AA55" s="10"/>
      <c r="AB55" s="16"/>
      <c r="AC55" s="10"/>
      <c r="AD55" s="16">
        <f t="shared" si="78"/>
        <v>0</v>
      </c>
      <c r="AE55" s="10"/>
      <c r="AF55" s="16">
        <f t="shared" si="79"/>
        <v>0</v>
      </c>
      <c r="AG55" s="16">
        <f t="shared" si="80"/>
        <v>0</v>
      </c>
      <c r="AH55" s="16">
        <f t="shared" si="81"/>
        <v>0</v>
      </c>
      <c r="AI55" s="18">
        <f t="shared" si="82"/>
        <v>0</v>
      </c>
      <c r="AJ55" s="14"/>
    </row>
    <row r="56" spans="1:36" x14ac:dyDescent="0.15">
      <c r="A56" s="5" t="s">
        <v>36</v>
      </c>
      <c r="B56" s="6" t="s">
        <v>37</v>
      </c>
      <c r="C56" s="7" t="s">
        <v>38</v>
      </c>
      <c r="D56" s="37" t="s">
        <v>94</v>
      </c>
      <c r="E56" s="6">
        <v>2025</v>
      </c>
      <c r="F56" s="16"/>
      <c r="G56" s="10"/>
      <c r="H56" s="16"/>
      <c r="I56" s="10"/>
      <c r="J56" s="16"/>
      <c r="K56" s="10"/>
      <c r="L56" s="16"/>
      <c r="M56" s="10"/>
      <c r="N56" s="16"/>
      <c r="O56" s="10"/>
      <c r="P56" s="16"/>
      <c r="Q56" s="10"/>
      <c r="R56" s="16"/>
      <c r="S56" s="10"/>
      <c r="T56" s="16"/>
      <c r="U56" s="10"/>
      <c r="V56" s="16"/>
      <c r="W56" s="10"/>
      <c r="X56" s="16"/>
      <c r="Y56" s="10"/>
      <c r="Z56" s="16"/>
      <c r="AA56" s="10"/>
      <c r="AB56" s="16"/>
      <c r="AC56" s="10"/>
      <c r="AD56" s="16">
        <f t="shared" si="78"/>
        <v>0</v>
      </c>
      <c r="AE56" s="10"/>
      <c r="AF56" s="16">
        <f t="shared" si="79"/>
        <v>0</v>
      </c>
      <c r="AG56" s="16">
        <f t="shared" si="80"/>
        <v>0</v>
      </c>
      <c r="AH56" s="16">
        <f t="shared" si="81"/>
        <v>0</v>
      </c>
      <c r="AI56" s="18">
        <f t="shared" si="82"/>
        <v>0</v>
      </c>
      <c r="AJ56" s="14"/>
    </row>
    <row r="57" spans="1:36" x14ac:dyDescent="0.15">
      <c r="A57" s="5" t="s">
        <v>36</v>
      </c>
      <c r="B57" s="6" t="s">
        <v>37</v>
      </c>
      <c r="C57" s="7" t="s">
        <v>38</v>
      </c>
      <c r="D57" s="37" t="s">
        <v>95</v>
      </c>
      <c r="E57" s="6">
        <v>2025</v>
      </c>
      <c r="F57" s="16"/>
      <c r="G57" s="10"/>
      <c r="H57" s="16"/>
      <c r="I57" s="10"/>
      <c r="J57" s="16"/>
      <c r="K57" s="10"/>
      <c r="L57" s="16"/>
      <c r="M57" s="10"/>
      <c r="N57" s="16"/>
      <c r="O57" s="10"/>
      <c r="P57" s="16"/>
      <c r="Q57" s="10"/>
      <c r="R57" s="16"/>
      <c r="S57" s="10"/>
      <c r="T57" s="16"/>
      <c r="U57" s="10"/>
      <c r="V57" s="16"/>
      <c r="W57" s="10"/>
      <c r="X57" s="16"/>
      <c r="Y57" s="10"/>
      <c r="Z57" s="16"/>
      <c r="AA57" s="10"/>
      <c r="AB57" s="16"/>
      <c r="AC57" s="10"/>
      <c r="AD57" s="16">
        <f t="shared" si="78"/>
        <v>0</v>
      </c>
      <c r="AE57" s="10"/>
      <c r="AF57" s="16">
        <f t="shared" si="79"/>
        <v>0</v>
      </c>
      <c r="AG57" s="16">
        <f t="shared" si="80"/>
        <v>0</v>
      </c>
      <c r="AH57" s="16">
        <f t="shared" si="81"/>
        <v>0</v>
      </c>
      <c r="AI57" s="18">
        <f t="shared" si="82"/>
        <v>0</v>
      </c>
      <c r="AJ57" s="14"/>
    </row>
    <row r="58" spans="1:36" s="33" customFormat="1" ht="16.5" x14ac:dyDescent="0.15">
      <c r="A58" s="5" t="s">
        <v>36</v>
      </c>
      <c r="B58" s="6" t="s">
        <v>37</v>
      </c>
      <c r="C58" s="7" t="s">
        <v>38</v>
      </c>
      <c r="D58" s="8" t="s">
        <v>96</v>
      </c>
      <c r="E58" s="6">
        <v>2025</v>
      </c>
      <c r="F58" s="26">
        <f t="shared" ref="F58:J58" si="83">SUM(F59:F62)</f>
        <v>0</v>
      </c>
      <c r="G58" s="10" t="str">
        <f t="shared" ref="G58:K58" si="84">IFERROR(F58/F$9,"")</f>
        <v/>
      </c>
      <c r="H58" s="26">
        <f t="shared" si="83"/>
        <v>0</v>
      </c>
      <c r="I58" s="10" t="str">
        <f t="shared" si="84"/>
        <v/>
      </c>
      <c r="J58" s="26">
        <f t="shared" si="83"/>
        <v>0</v>
      </c>
      <c r="K58" s="10" t="str">
        <f t="shared" si="84"/>
        <v/>
      </c>
      <c r="L58" s="26">
        <f t="shared" ref="L58:P58" si="85">SUM(L59:L62)</f>
        <v>0</v>
      </c>
      <c r="M58" s="10" t="str">
        <f t="shared" ref="M58:Q58" si="86">IFERROR(L58/L$9,"")</f>
        <v/>
      </c>
      <c r="N58" s="26">
        <f t="shared" si="85"/>
        <v>0</v>
      </c>
      <c r="O58" s="10" t="str">
        <f t="shared" si="86"/>
        <v/>
      </c>
      <c r="P58" s="26">
        <f t="shared" si="85"/>
        <v>0</v>
      </c>
      <c r="Q58" s="10" t="str">
        <f t="shared" si="86"/>
        <v/>
      </c>
      <c r="R58" s="26">
        <f t="shared" ref="R58:V58" si="87">SUM(R59:R62)</f>
        <v>0</v>
      </c>
      <c r="S58" s="10" t="str">
        <f t="shared" ref="S58:W58" si="88">IFERROR(R58/R$9,"")</f>
        <v/>
      </c>
      <c r="T58" s="26">
        <f t="shared" si="87"/>
        <v>0</v>
      </c>
      <c r="U58" s="10" t="str">
        <f t="shared" si="88"/>
        <v/>
      </c>
      <c r="V58" s="26">
        <f t="shared" si="87"/>
        <v>0</v>
      </c>
      <c r="W58" s="10" t="str">
        <f t="shared" si="88"/>
        <v/>
      </c>
      <c r="X58" s="26">
        <f t="shared" ref="X58:AB58" si="89">SUM(X59:X62)</f>
        <v>0</v>
      </c>
      <c r="Y58" s="10" t="str">
        <f t="shared" ref="Y58:AC58" si="90">IFERROR(X58/X$9,"")</f>
        <v/>
      </c>
      <c r="Z58" s="26">
        <f t="shared" si="89"/>
        <v>0</v>
      </c>
      <c r="AA58" s="10" t="str">
        <f t="shared" si="90"/>
        <v/>
      </c>
      <c r="AB58" s="26">
        <f t="shared" si="89"/>
        <v>0</v>
      </c>
      <c r="AC58" s="10" t="str">
        <f t="shared" si="90"/>
        <v/>
      </c>
      <c r="AD58" s="26">
        <f>SUM(AD59:AD62)</f>
        <v>0</v>
      </c>
      <c r="AE58" s="10" t="str">
        <f>IFERROR(AD58/AD$9,"")</f>
        <v/>
      </c>
      <c r="AF58" s="26">
        <f>SUM(AF59:AF62)</f>
        <v>0</v>
      </c>
      <c r="AG58" s="26">
        <f>SUM(AG59:AG62)</f>
        <v>0</v>
      </c>
      <c r="AH58" s="26">
        <f>SUM(AH59:AH62)</f>
        <v>0</v>
      </c>
      <c r="AI58" s="27">
        <f>SUM(AI59:AI62)</f>
        <v>0</v>
      </c>
      <c r="AJ58" s="14" t="s">
        <v>97</v>
      </c>
    </row>
    <row r="59" spans="1:36" x14ac:dyDescent="0.15">
      <c r="A59" s="5" t="s">
        <v>36</v>
      </c>
      <c r="B59" s="6" t="s">
        <v>37</v>
      </c>
      <c r="C59" s="7" t="s">
        <v>38</v>
      </c>
      <c r="D59" s="37" t="s">
        <v>98</v>
      </c>
      <c r="E59" s="6">
        <v>2025</v>
      </c>
      <c r="F59" s="16"/>
      <c r="G59" s="10"/>
      <c r="H59" s="16"/>
      <c r="I59" s="10"/>
      <c r="J59" s="16"/>
      <c r="K59" s="10"/>
      <c r="L59" s="16"/>
      <c r="M59" s="10"/>
      <c r="N59" s="16"/>
      <c r="O59" s="10"/>
      <c r="P59" s="16"/>
      <c r="Q59" s="10"/>
      <c r="R59" s="16"/>
      <c r="S59" s="10"/>
      <c r="T59" s="16"/>
      <c r="U59" s="10"/>
      <c r="V59" s="16"/>
      <c r="W59" s="10"/>
      <c r="X59" s="16"/>
      <c r="Y59" s="10"/>
      <c r="Z59" s="16"/>
      <c r="AA59" s="10"/>
      <c r="AB59" s="16"/>
      <c r="AC59" s="10"/>
      <c r="AD59" s="16">
        <f t="shared" ref="AD59:AD62" si="91">SUM(F59,H59,J59,L59,N59,P59,R59,T59,V59,X59,Z59,AB59)</f>
        <v>0</v>
      </c>
      <c r="AE59" s="10"/>
      <c r="AF59" s="16">
        <f t="shared" ref="AF59:AF62" si="92">SUM(F59,H59,J59)</f>
        <v>0</v>
      </c>
      <c r="AG59" s="16">
        <f t="shared" ref="AG59:AG62" si="93">SUM(L59,N59,P59)</f>
        <v>0</v>
      </c>
      <c r="AH59" s="16">
        <f t="shared" ref="AH59:AH62" si="94">SUM(R59,T59,V59)</f>
        <v>0</v>
      </c>
      <c r="AI59" s="18">
        <f t="shared" ref="AI59:AI62" si="95">SUM(X59,Z59,AB59)</f>
        <v>0</v>
      </c>
      <c r="AJ59" s="14"/>
    </row>
    <row r="60" spans="1:36" x14ac:dyDescent="0.15">
      <c r="A60" s="5" t="s">
        <v>36</v>
      </c>
      <c r="B60" s="6" t="s">
        <v>37</v>
      </c>
      <c r="C60" s="7" t="s">
        <v>38</v>
      </c>
      <c r="D60" s="37" t="s">
        <v>99</v>
      </c>
      <c r="E60" s="6">
        <v>2025</v>
      </c>
      <c r="F60" s="16"/>
      <c r="G60" s="10"/>
      <c r="H60" s="16"/>
      <c r="I60" s="10"/>
      <c r="J60" s="16"/>
      <c r="K60" s="10"/>
      <c r="L60" s="16"/>
      <c r="M60" s="10"/>
      <c r="N60" s="16"/>
      <c r="O60" s="10"/>
      <c r="P60" s="16"/>
      <c r="Q60" s="10"/>
      <c r="R60" s="16"/>
      <c r="S60" s="10"/>
      <c r="T60" s="16"/>
      <c r="U60" s="10"/>
      <c r="V60" s="16"/>
      <c r="W60" s="10"/>
      <c r="X60" s="16"/>
      <c r="Y60" s="10"/>
      <c r="Z60" s="16"/>
      <c r="AA60" s="10"/>
      <c r="AB60" s="16"/>
      <c r="AC60" s="10"/>
      <c r="AD60" s="16">
        <f t="shared" si="91"/>
        <v>0</v>
      </c>
      <c r="AE60" s="10"/>
      <c r="AF60" s="16">
        <f t="shared" si="92"/>
        <v>0</v>
      </c>
      <c r="AG60" s="16">
        <f t="shared" si="93"/>
        <v>0</v>
      </c>
      <c r="AH60" s="16">
        <f t="shared" si="94"/>
        <v>0</v>
      </c>
      <c r="AI60" s="18">
        <f t="shared" si="95"/>
        <v>0</v>
      </c>
      <c r="AJ60" s="14"/>
    </row>
    <row r="61" spans="1:36" x14ac:dyDescent="0.15">
      <c r="A61" s="5" t="s">
        <v>36</v>
      </c>
      <c r="B61" s="6" t="s">
        <v>37</v>
      </c>
      <c r="C61" s="7" t="s">
        <v>38</v>
      </c>
      <c r="D61" s="37" t="s">
        <v>100</v>
      </c>
      <c r="E61" s="6">
        <v>2025</v>
      </c>
      <c r="F61" s="16"/>
      <c r="G61" s="10"/>
      <c r="H61" s="16"/>
      <c r="I61" s="10"/>
      <c r="J61" s="16"/>
      <c r="K61" s="10"/>
      <c r="L61" s="16"/>
      <c r="M61" s="10"/>
      <c r="N61" s="16"/>
      <c r="O61" s="10"/>
      <c r="P61" s="16"/>
      <c r="Q61" s="10"/>
      <c r="R61" s="16"/>
      <c r="S61" s="10"/>
      <c r="T61" s="16"/>
      <c r="U61" s="10"/>
      <c r="V61" s="16"/>
      <c r="W61" s="10"/>
      <c r="X61" s="16"/>
      <c r="Y61" s="10"/>
      <c r="Z61" s="16"/>
      <c r="AA61" s="10"/>
      <c r="AB61" s="16"/>
      <c r="AC61" s="10"/>
      <c r="AD61" s="16">
        <f t="shared" si="91"/>
        <v>0</v>
      </c>
      <c r="AE61" s="10"/>
      <c r="AF61" s="16">
        <f t="shared" si="92"/>
        <v>0</v>
      </c>
      <c r="AG61" s="16">
        <f t="shared" si="93"/>
        <v>0</v>
      </c>
      <c r="AH61" s="16">
        <f t="shared" si="94"/>
        <v>0</v>
      </c>
      <c r="AI61" s="18">
        <f t="shared" si="95"/>
        <v>0</v>
      </c>
      <c r="AJ61" s="14"/>
    </row>
    <row r="62" spans="1:36" x14ac:dyDescent="0.15">
      <c r="A62" s="5" t="s">
        <v>36</v>
      </c>
      <c r="B62" s="6" t="s">
        <v>37</v>
      </c>
      <c r="C62" s="7" t="s">
        <v>38</v>
      </c>
      <c r="D62" s="37" t="s">
        <v>101</v>
      </c>
      <c r="E62" s="6">
        <v>2025</v>
      </c>
      <c r="F62" s="16"/>
      <c r="G62" s="10"/>
      <c r="H62" s="16"/>
      <c r="I62" s="10"/>
      <c r="J62" s="16"/>
      <c r="K62" s="10"/>
      <c r="L62" s="16"/>
      <c r="M62" s="10"/>
      <c r="N62" s="16"/>
      <c r="O62" s="10"/>
      <c r="P62" s="16"/>
      <c r="Q62" s="10"/>
      <c r="R62" s="16"/>
      <c r="S62" s="10"/>
      <c r="T62" s="16"/>
      <c r="U62" s="10"/>
      <c r="V62" s="16"/>
      <c r="W62" s="10"/>
      <c r="X62" s="16"/>
      <c r="Y62" s="10"/>
      <c r="Z62" s="16"/>
      <c r="AA62" s="10"/>
      <c r="AB62" s="16"/>
      <c r="AC62" s="10"/>
      <c r="AD62" s="16">
        <f t="shared" si="91"/>
        <v>0</v>
      </c>
      <c r="AE62" s="10"/>
      <c r="AF62" s="16">
        <f t="shared" si="92"/>
        <v>0</v>
      </c>
      <c r="AG62" s="16">
        <f t="shared" si="93"/>
        <v>0</v>
      </c>
      <c r="AH62" s="16">
        <f t="shared" si="94"/>
        <v>0</v>
      </c>
      <c r="AI62" s="18">
        <f t="shared" si="95"/>
        <v>0</v>
      </c>
      <c r="AJ62" s="14"/>
    </row>
    <row r="63" spans="1:36" s="33" customFormat="1" ht="16.5" x14ac:dyDescent="0.15">
      <c r="A63" s="5" t="s">
        <v>36</v>
      </c>
      <c r="B63" s="6" t="s">
        <v>37</v>
      </c>
      <c r="C63" s="7" t="s">
        <v>38</v>
      </c>
      <c r="D63" s="8" t="s">
        <v>102</v>
      </c>
      <c r="E63" s="6">
        <v>2025</v>
      </c>
      <c r="F63" s="26">
        <f t="shared" ref="F63:J63" si="96">SUM(F64:F68)</f>
        <v>0</v>
      </c>
      <c r="G63" s="10" t="str">
        <f t="shared" ref="G63:K63" si="97">IFERROR(F63/F$9,"")</f>
        <v/>
      </c>
      <c r="H63" s="26">
        <f t="shared" si="96"/>
        <v>0</v>
      </c>
      <c r="I63" s="10" t="str">
        <f t="shared" si="97"/>
        <v/>
      </c>
      <c r="J63" s="26">
        <f t="shared" si="96"/>
        <v>0</v>
      </c>
      <c r="K63" s="10" t="str">
        <f t="shared" si="97"/>
        <v/>
      </c>
      <c r="L63" s="26">
        <f t="shared" ref="L63:P63" si="98">SUM(L64:L68)</f>
        <v>0</v>
      </c>
      <c r="M63" s="10" t="str">
        <f t="shared" ref="M63:Q63" si="99">IFERROR(L63/L$9,"")</f>
        <v/>
      </c>
      <c r="N63" s="26">
        <f t="shared" si="98"/>
        <v>0</v>
      </c>
      <c r="O63" s="10" t="str">
        <f t="shared" si="99"/>
        <v/>
      </c>
      <c r="P63" s="26">
        <f t="shared" si="98"/>
        <v>0</v>
      </c>
      <c r="Q63" s="10" t="str">
        <f t="shared" si="99"/>
        <v/>
      </c>
      <c r="R63" s="26">
        <f t="shared" ref="R63:V63" si="100">SUM(R64:R68)</f>
        <v>0</v>
      </c>
      <c r="S63" s="10" t="str">
        <f t="shared" ref="S63:W63" si="101">IFERROR(R63/R$9,"")</f>
        <v/>
      </c>
      <c r="T63" s="26">
        <f t="shared" si="100"/>
        <v>0</v>
      </c>
      <c r="U63" s="10" t="str">
        <f t="shared" si="101"/>
        <v/>
      </c>
      <c r="V63" s="26">
        <f t="shared" si="100"/>
        <v>0</v>
      </c>
      <c r="W63" s="10" t="str">
        <f t="shared" si="101"/>
        <v/>
      </c>
      <c r="X63" s="26">
        <f t="shared" ref="X63:AB63" si="102">SUM(X64:X68)</f>
        <v>0</v>
      </c>
      <c r="Y63" s="10" t="str">
        <f t="shared" ref="Y63:AC63" si="103">IFERROR(X63/X$9,"")</f>
        <v/>
      </c>
      <c r="Z63" s="26">
        <f t="shared" si="102"/>
        <v>0</v>
      </c>
      <c r="AA63" s="10" t="str">
        <f t="shared" si="103"/>
        <v/>
      </c>
      <c r="AB63" s="26">
        <f t="shared" si="102"/>
        <v>0</v>
      </c>
      <c r="AC63" s="10" t="str">
        <f t="shared" si="103"/>
        <v/>
      </c>
      <c r="AD63" s="26">
        <f>SUM(AD64:AD68)</f>
        <v>0</v>
      </c>
      <c r="AE63" s="10" t="str">
        <f>IFERROR(AD63/AD$9,"")</f>
        <v/>
      </c>
      <c r="AF63" s="26">
        <f>SUM(AF64:AF68)</f>
        <v>0</v>
      </c>
      <c r="AG63" s="26">
        <f>SUM(AG64:AG68)</f>
        <v>0</v>
      </c>
      <c r="AH63" s="26">
        <f>SUM(AH64:AH68)</f>
        <v>0</v>
      </c>
      <c r="AI63" s="27">
        <f>SUM(AI64:AI68)</f>
        <v>0</v>
      </c>
      <c r="AJ63" s="14" t="s">
        <v>50</v>
      </c>
    </row>
    <row r="64" spans="1:36" x14ac:dyDescent="0.15">
      <c r="A64" s="5" t="s">
        <v>36</v>
      </c>
      <c r="B64" s="6" t="s">
        <v>37</v>
      </c>
      <c r="C64" s="7" t="s">
        <v>38</v>
      </c>
      <c r="D64" s="37" t="s">
        <v>103</v>
      </c>
      <c r="E64" s="6">
        <v>2025</v>
      </c>
      <c r="F64" s="16"/>
      <c r="G64" s="10"/>
      <c r="H64" s="16"/>
      <c r="I64" s="10"/>
      <c r="J64" s="16"/>
      <c r="K64" s="10"/>
      <c r="L64" s="16"/>
      <c r="M64" s="10"/>
      <c r="N64" s="16"/>
      <c r="O64" s="10"/>
      <c r="P64" s="16"/>
      <c r="Q64" s="10"/>
      <c r="R64" s="16"/>
      <c r="S64" s="10"/>
      <c r="T64" s="16"/>
      <c r="U64" s="10"/>
      <c r="V64" s="16"/>
      <c r="W64" s="10"/>
      <c r="X64" s="16"/>
      <c r="Y64" s="10"/>
      <c r="Z64" s="16"/>
      <c r="AA64" s="10"/>
      <c r="AB64" s="16"/>
      <c r="AC64" s="10"/>
      <c r="AD64" s="16">
        <f t="shared" ref="AD64:AD68" si="104">SUM(F64,H64,J64,L64,N64,P64,R64,T64,V64,X64,Z64,AB64)</f>
        <v>0</v>
      </c>
      <c r="AE64" s="10"/>
      <c r="AF64" s="16">
        <f t="shared" ref="AF64:AF68" si="105">SUM(F64,H64,J64)</f>
        <v>0</v>
      </c>
      <c r="AG64" s="16">
        <f t="shared" ref="AG64:AG68" si="106">SUM(L64,N64,P64)</f>
        <v>0</v>
      </c>
      <c r="AH64" s="16">
        <f t="shared" ref="AH64:AH68" si="107">SUM(R64,T64,V64)</f>
        <v>0</v>
      </c>
      <c r="AI64" s="18">
        <f t="shared" ref="AI64:AI68" si="108">SUM(X64,Z64,AB64)</f>
        <v>0</v>
      </c>
      <c r="AJ64" s="14"/>
    </row>
    <row r="65" spans="1:36" x14ac:dyDescent="0.15">
      <c r="A65" s="5" t="s">
        <v>36</v>
      </c>
      <c r="B65" s="6" t="s">
        <v>37</v>
      </c>
      <c r="C65" s="7" t="s">
        <v>38</v>
      </c>
      <c r="D65" s="37" t="s">
        <v>104</v>
      </c>
      <c r="E65" s="6">
        <v>2025</v>
      </c>
      <c r="F65" s="16"/>
      <c r="G65" s="10"/>
      <c r="H65" s="16"/>
      <c r="I65" s="10"/>
      <c r="J65" s="16"/>
      <c r="K65" s="10"/>
      <c r="L65" s="16"/>
      <c r="M65" s="10"/>
      <c r="N65" s="16"/>
      <c r="O65" s="10"/>
      <c r="P65" s="16"/>
      <c r="Q65" s="10"/>
      <c r="R65" s="16"/>
      <c r="S65" s="10"/>
      <c r="T65" s="16"/>
      <c r="U65" s="10"/>
      <c r="V65" s="16"/>
      <c r="W65" s="10"/>
      <c r="X65" s="16"/>
      <c r="Y65" s="10"/>
      <c r="Z65" s="16"/>
      <c r="AA65" s="10"/>
      <c r="AB65" s="16"/>
      <c r="AC65" s="10"/>
      <c r="AD65" s="16">
        <f t="shared" si="104"/>
        <v>0</v>
      </c>
      <c r="AE65" s="10"/>
      <c r="AF65" s="16">
        <f t="shared" si="105"/>
        <v>0</v>
      </c>
      <c r="AG65" s="16">
        <f t="shared" si="106"/>
        <v>0</v>
      </c>
      <c r="AH65" s="16">
        <f t="shared" si="107"/>
        <v>0</v>
      </c>
      <c r="AI65" s="18">
        <f t="shared" si="108"/>
        <v>0</v>
      </c>
      <c r="AJ65" s="14"/>
    </row>
    <row r="66" spans="1:36" x14ac:dyDescent="0.15">
      <c r="A66" s="5" t="s">
        <v>36</v>
      </c>
      <c r="B66" s="6" t="s">
        <v>37</v>
      </c>
      <c r="C66" s="7" t="s">
        <v>38</v>
      </c>
      <c r="D66" s="37" t="s">
        <v>105</v>
      </c>
      <c r="E66" s="6">
        <v>2025</v>
      </c>
      <c r="F66" s="16"/>
      <c r="G66" s="10"/>
      <c r="H66" s="16"/>
      <c r="I66" s="10"/>
      <c r="J66" s="16"/>
      <c r="K66" s="10"/>
      <c r="L66" s="16"/>
      <c r="M66" s="10"/>
      <c r="N66" s="16"/>
      <c r="O66" s="10"/>
      <c r="P66" s="16"/>
      <c r="Q66" s="10"/>
      <c r="R66" s="16"/>
      <c r="S66" s="10"/>
      <c r="T66" s="16"/>
      <c r="U66" s="10"/>
      <c r="V66" s="16"/>
      <c r="W66" s="10"/>
      <c r="X66" s="16"/>
      <c r="Y66" s="10"/>
      <c r="Z66" s="16"/>
      <c r="AA66" s="10"/>
      <c r="AB66" s="16"/>
      <c r="AC66" s="10"/>
      <c r="AD66" s="16">
        <f t="shared" si="104"/>
        <v>0</v>
      </c>
      <c r="AE66" s="10"/>
      <c r="AF66" s="16">
        <f t="shared" si="105"/>
        <v>0</v>
      </c>
      <c r="AG66" s="16">
        <f t="shared" si="106"/>
        <v>0</v>
      </c>
      <c r="AH66" s="16">
        <f t="shared" si="107"/>
        <v>0</v>
      </c>
      <c r="AI66" s="18">
        <f t="shared" si="108"/>
        <v>0</v>
      </c>
      <c r="AJ66" s="14"/>
    </row>
    <row r="67" spans="1:36" x14ac:dyDescent="0.15">
      <c r="A67" s="5" t="s">
        <v>36</v>
      </c>
      <c r="B67" s="6" t="s">
        <v>37</v>
      </c>
      <c r="C67" s="7" t="s">
        <v>38</v>
      </c>
      <c r="D67" s="37" t="s">
        <v>106</v>
      </c>
      <c r="E67" s="6">
        <v>2025</v>
      </c>
      <c r="F67" s="16"/>
      <c r="G67" s="10"/>
      <c r="H67" s="16"/>
      <c r="I67" s="10"/>
      <c r="J67" s="16"/>
      <c r="K67" s="10"/>
      <c r="L67" s="16"/>
      <c r="M67" s="10"/>
      <c r="N67" s="16"/>
      <c r="O67" s="10"/>
      <c r="P67" s="16"/>
      <c r="Q67" s="10"/>
      <c r="R67" s="16"/>
      <c r="S67" s="10"/>
      <c r="T67" s="16"/>
      <c r="U67" s="10"/>
      <c r="V67" s="16"/>
      <c r="W67" s="10"/>
      <c r="X67" s="16"/>
      <c r="Y67" s="10"/>
      <c r="Z67" s="16"/>
      <c r="AA67" s="10"/>
      <c r="AB67" s="16"/>
      <c r="AC67" s="10"/>
      <c r="AD67" s="16">
        <f t="shared" si="104"/>
        <v>0</v>
      </c>
      <c r="AE67" s="10"/>
      <c r="AF67" s="16">
        <f t="shared" si="105"/>
        <v>0</v>
      </c>
      <c r="AG67" s="16">
        <f t="shared" si="106"/>
        <v>0</v>
      </c>
      <c r="AH67" s="16">
        <f t="shared" si="107"/>
        <v>0</v>
      </c>
      <c r="AI67" s="18">
        <f t="shared" si="108"/>
        <v>0</v>
      </c>
      <c r="AJ67" s="14"/>
    </row>
    <row r="68" spans="1:36" x14ac:dyDescent="0.15">
      <c r="A68" s="5" t="s">
        <v>36</v>
      </c>
      <c r="B68" s="6" t="s">
        <v>37</v>
      </c>
      <c r="C68" s="7" t="s">
        <v>38</v>
      </c>
      <c r="D68" s="37" t="s">
        <v>107</v>
      </c>
      <c r="E68" s="6">
        <v>2025</v>
      </c>
      <c r="F68" s="16"/>
      <c r="G68" s="10"/>
      <c r="H68" s="16"/>
      <c r="I68" s="10"/>
      <c r="J68" s="16"/>
      <c r="K68" s="10"/>
      <c r="L68" s="16"/>
      <c r="M68" s="10"/>
      <c r="N68" s="16"/>
      <c r="O68" s="10"/>
      <c r="P68" s="16"/>
      <c r="Q68" s="10"/>
      <c r="R68" s="16"/>
      <c r="S68" s="10"/>
      <c r="T68" s="16"/>
      <c r="U68" s="10"/>
      <c r="V68" s="16"/>
      <c r="W68" s="10"/>
      <c r="X68" s="16"/>
      <c r="Y68" s="10"/>
      <c r="Z68" s="16"/>
      <c r="AA68" s="10"/>
      <c r="AB68" s="16"/>
      <c r="AC68" s="10"/>
      <c r="AD68" s="16">
        <f t="shared" si="104"/>
        <v>0</v>
      </c>
      <c r="AE68" s="10"/>
      <c r="AF68" s="16">
        <f t="shared" si="105"/>
        <v>0</v>
      </c>
      <c r="AG68" s="16">
        <f t="shared" si="106"/>
        <v>0</v>
      </c>
      <c r="AH68" s="16">
        <f t="shared" si="107"/>
        <v>0</v>
      </c>
      <c r="AI68" s="18">
        <f t="shared" si="108"/>
        <v>0</v>
      </c>
      <c r="AJ68" s="14"/>
    </row>
    <row r="69" spans="1:36" s="33" customFormat="1" ht="16.5" x14ac:dyDescent="0.15">
      <c r="A69" s="5" t="s">
        <v>36</v>
      </c>
      <c r="B69" s="6" t="s">
        <v>37</v>
      </c>
      <c r="C69" s="7" t="s">
        <v>38</v>
      </c>
      <c r="D69" s="8" t="s">
        <v>108</v>
      </c>
      <c r="E69" s="6">
        <v>2025</v>
      </c>
      <c r="F69" s="26">
        <f t="shared" ref="F69:J69" si="109">SUM(F70:F81)</f>
        <v>0</v>
      </c>
      <c r="G69" s="10" t="str">
        <f t="shared" ref="G69:K69" si="110">IFERROR(F69/F$9,"")</f>
        <v/>
      </c>
      <c r="H69" s="26">
        <f t="shared" si="109"/>
        <v>0</v>
      </c>
      <c r="I69" s="10" t="str">
        <f t="shared" si="110"/>
        <v/>
      </c>
      <c r="J69" s="26">
        <f t="shared" si="109"/>
        <v>0</v>
      </c>
      <c r="K69" s="10" t="str">
        <f t="shared" si="110"/>
        <v/>
      </c>
      <c r="L69" s="26">
        <f t="shared" ref="L69:P69" si="111">SUM(L70:L81)</f>
        <v>0</v>
      </c>
      <c r="M69" s="10" t="str">
        <f t="shared" ref="M69:Q69" si="112">IFERROR(L69/L$9,"")</f>
        <v/>
      </c>
      <c r="N69" s="26">
        <f t="shared" si="111"/>
        <v>0</v>
      </c>
      <c r="O69" s="10" t="str">
        <f t="shared" si="112"/>
        <v/>
      </c>
      <c r="P69" s="26">
        <f t="shared" si="111"/>
        <v>0</v>
      </c>
      <c r="Q69" s="10" t="str">
        <f t="shared" si="112"/>
        <v/>
      </c>
      <c r="R69" s="26">
        <f t="shared" ref="R69:V69" si="113">SUM(R70:R81)</f>
        <v>0</v>
      </c>
      <c r="S69" s="10" t="str">
        <f t="shared" ref="S69:W69" si="114">IFERROR(R69/R$9,"")</f>
        <v/>
      </c>
      <c r="T69" s="26">
        <f t="shared" si="113"/>
        <v>0</v>
      </c>
      <c r="U69" s="10" t="str">
        <f t="shared" si="114"/>
        <v/>
      </c>
      <c r="V69" s="26">
        <f t="shared" si="113"/>
        <v>0</v>
      </c>
      <c r="W69" s="10" t="str">
        <f t="shared" si="114"/>
        <v/>
      </c>
      <c r="X69" s="26">
        <f t="shared" ref="X69:AB69" si="115">SUM(X70:X81)</f>
        <v>0</v>
      </c>
      <c r="Y69" s="10" t="str">
        <f t="shared" ref="Y69:AC69" si="116">IFERROR(X69/X$9,"")</f>
        <v/>
      </c>
      <c r="Z69" s="26">
        <f t="shared" si="115"/>
        <v>0</v>
      </c>
      <c r="AA69" s="10" t="str">
        <f t="shared" si="116"/>
        <v/>
      </c>
      <c r="AB69" s="26">
        <f t="shared" si="115"/>
        <v>0</v>
      </c>
      <c r="AC69" s="10" t="str">
        <f t="shared" si="116"/>
        <v/>
      </c>
      <c r="AD69" s="26">
        <f>SUM(AD70:AD81)</f>
        <v>0</v>
      </c>
      <c r="AE69" s="10" t="str">
        <f>IFERROR(AD69/AD$9,"")</f>
        <v/>
      </c>
      <c r="AF69" s="26">
        <f>SUM(AF70:AF81)</f>
        <v>0</v>
      </c>
      <c r="AG69" s="26">
        <f>SUM(AG70:AG81)</f>
        <v>0</v>
      </c>
      <c r="AH69" s="26">
        <f>SUM(AH70:AH81)</f>
        <v>0</v>
      </c>
      <c r="AI69" s="26">
        <f>SUM(AI70:AI81)</f>
        <v>0</v>
      </c>
      <c r="AJ69" s="14" t="s">
        <v>50</v>
      </c>
    </row>
    <row r="70" spans="1:36" x14ac:dyDescent="0.15">
      <c r="A70" s="5" t="s">
        <v>36</v>
      </c>
      <c r="B70" s="6" t="s">
        <v>37</v>
      </c>
      <c r="C70" s="7" t="s">
        <v>38</v>
      </c>
      <c r="D70" s="37" t="s">
        <v>109</v>
      </c>
      <c r="E70" s="6">
        <v>2025</v>
      </c>
      <c r="F70" s="16"/>
      <c r="G70" s="10"/>
      <c r="H70" s="16"/>
      <c r="I70" s="10"/>
      <c r="J70" s="16"/>
      <c r="K70" s="10"/>
      <c r="L70" s="16"/>
      <c r="M70" s="10"/>
      <c r="N70" s="16"/>
      <c r="O70" s="10"/>
      <c r="P70" s="16"/>
      <c r="Q70" s="10"/>
      <c r="R70" s="16"/>
      <c r="S70" s="10"/>
      <c r="T70" s="16"/>
      <c r="U70" s="10"/>
      <c r="V70" s="16"/>
      <c r="W70" s="10"/>
      <c r="X70" s="16"/>
      <c r="Y70" s="10"/>
      <c r="Z70" s="16"/>
      <c r="AA70" s="10"/>
      <c r="AB70" s="16"/>
      <c r="AC70" s="10"/>
      <c r="AD70" s="16">
        <f t="shared" ref="AD70:AD81" si="117">SUM(F70,H70,J70,L70,N70,P70,R70,T70,V70,X70,Z70,AB70)</f>
        <v>0</v>
      </c>
      <c r="AE70" s="10"/>
      <c r="AF70" s="16">
        <f t="shared" ref="AF70:AF81" si="118">SUM(F70,H70,J70)</f>
        <v>0</v>
      </c>
      <c r="AG70" s="16">
        <f t="shared" ref="AG70:AG81" si="119">SUM(L70,N70,P70)</f>
        <v>0</v>
      </c>
      <c r="AH70" s="16">
        <f t="shared" ref="AH70:AH81" si="120">SUM(R70,T70,V70)</f>
        <v>0</v>
      </c>
      <c r="AI70" s="18">
        <f t="shared" ref="AI70:AI81" si="121">SUM(X70,Z70,AB70)</f>
        <v>0</v>
      </c>
      <c r="AJ70" s="14"/>
    </row>
    <row r="71" spans="1:36" x14ac:dyDescent="0.15">
      <c r="A71" s="5" t="s">
        <v>36</v>
      </c>
      <c r="B71" s="6" t="s">
        <v>37</v>
      </c>
      <c r="C71" s="7" t="s">
        <v>38</v>
      </c>
      <c r="D71" s="37" t="s">
        <v>110</v>
      </c>
      <c r="E71" s="6">
        <v>2025</v>
      </c>
      <c r="F71" s="16"/>
      <c r="G71" s="10"/>
      <c r="H71" s="16"/>
      <c r="I71" s="10"/>
      <c r="J71" s="16"/>
      <c r="K71" s="10"/>
      <c r="L71" s="16"/>
      <c r="M71" s="10"/>
      <c r="N71" s="16"/>
      <c r="O71" s="10"/>
      <c r="P71" s="16"/>
      <c r="Q71" s="10"/>
      <c r="R71" s="16"/>
      <c r="S71" s="10"/>
      <c r="T71" s="16"/>
      <c r="U71" s="10"/>
      <c r="V71" s="16"/>
      <c r="W71" s="10"/>
      <c r="X71" s="16"/>
      <c r="Y71" s="10"/>
      <c r="Z71" s="16"/>
      <c r="AA71" s="10"/>
      <c r="AB71" s="16"/>
      <c r="AC71" s="10"/>
      <c r="AD71" s="16">
        <f t="shared" si="117"/>
        <v>0</v>
      </c>
      <c r="AE71" s="10"/>
      <c r="AF71" s="16">
        <f t="shared" si="118"/>
        <v>0</v>
      </c>
      <c r="AG71" s="16">
        <f t="shared" si="119"/>
        <v>0</v>
      </c>
      <c r="AH71" s="16">
        <f t="shared" si="120"/>
        <v>0</v>
      </c>
      <c r="AI71" s="18">
        <f t="shared" si="121"/>
        <v>0</v>
      </c>
      <c r="AJ71" s="14"/>
    </row>
    <row r="72" spans="1:36" x14ac:dyDescent="0.15">
      <c r="A72" s="5" t="s">
        <v>36</v>
      </c>
      <c r="B72" s="6" t="s">
        <v>37</v>
      </c>
      <c r="C72" s="7" t="s">
        <v>38</v>
      </c>
      <c r="D72" s="37" t="s">
        <v>111</v>
      </c>
      <c r="E72" s="6">
        <v>2025</v>
      </c>
      <c r="F72" s="16"/>
      <c r="G72" s="10"/>
      <c r="H72" s="16"/>
      <c r="I72" s="10"/>
      <c r="J72" s="16"/>
      <c r="K72" s="10"/>
      <c r="L72" s="16"/>
      <c r="M72" s="10"/>
      <c r="N72" s="16"/>
      <c r="O72" s="10"/>
      <c r="P72" s="16"/>
      <c r="Q72" s="10"/>
      <c r="R72" s="16"/>
      <c r="S72" s="10"/>
      <c r="T72" s="16"/>
      <c r="U72" s="10"/>
      <c r="V72" s="16"/>
      <c r="W72" s="10"/>
      <c r="X72" s="16"/>
      <c r="Y72" s="10"/>
      <c r="Z72" s="16"/>
      <c r="AA72" s="10"/>
      <c r="AB72" s="16"/>
      <c r="AC72" s="10"/>
      <c r="AD72" s="16">
        <f t="shared" si="117"/>
        <v>0</v>
      </c>
      <c r="AE72" s="10"/>
      <c r="AF72" s="16">
        <f t="shared" si="118"/>
        <v>0</v>
      </c>
      <c r="AG72" s="16">
        <f t="shared" si="119"/>
        <v>0</v>
      </c>
      <c r="AH72" s="16">
        <f t="shared" si="120"/>
        <v>0</v>
      </c>
      <c r="AI72" s="18">
        <f t="shared" si="121"/>
        <v>0</v>
      </c>
      <c r="AJ72" s="14"/>
    </row>
    <row r="73" spans="1:36" x14ac:dyDescent="0.15">
      <c r="A73" s="5" t="s">
        <v>36</v>
      </c>
      <c r="B73" s="6" t="s">
        <v>37</v>
      </c>
      <c r="C73" s="7" t="s">
        <v>38</v>
      </c>
      <c r="D73" s="37" t="s">
        <v>112</v>
      </c>
      <c r="E73" s="6">
        <v>2025</v>
      </c>
      <c r="F73" s="16"/>
      <c r="G73" s="10"/>
      <c r="H73" s="16"/>
      <c r="I73" s="10"/>
      <c r="J73" s="16"/>
      <c r="K73" s="10"/>
      <c r="L73" s="16"/>
      <c r="M73" s="10"/>
      <c r="N73" s="16"/>
      <c r="O73" s="10"/>
      <c r="P73" s="16"/>
      <c r="Q73" s="10"/>
      <c r="R73" s="16"/>
      <c r="S73" s="10"/>
      <c r="T73" s="16"/>
      <c r="U73" s="10"/>
      <c r="V73" s="16"/>
      <c r="W73" s="10"/>
      <c r="X73" s="16"/>
      <c r="Y73" s="10"/>
      <c r="Z73" s="16"/>
      <c r="AA73" s="10"/>
      <c r="AB73" s="16"/>
      <c r="AC73" s="10"/>
      <c r="AD73" s="16">
        <f t="shared" si="117"/>
        <v>0</v>
      </c>
      <c r="AE73" s="10"/>
      <c r="AF73" s="16">
        <f t="shared" si="118"/>
        <v>0</v>
      </c>
      <c r="AG73" s="16">
        <f t="shared" si="119"/>
        <v>0</v>
      </c>
      <c r="AH73" s="16">
        <f t="shared" si="120"/>
        <v>0</v>
      </c>
      <c r="AI73" s="18">
        <f t="shared" si="121"/>
        <v>0</v>
      </c>
      <c r="AJ73" s="14"/>
    </row>
    <row r="74" spans="1:36" x14ac:dyDescent="0.15">
      <c r="A74" s="5" t="s">
        <v>36</v>
      </c>
      <c r="B74" s="6" t="s">
        <v>37</v>
      </c>
      <c r="C74" s="7" t="s">
        <v>38</v>
      </c>
      <c r="D74" s="37" t="s">
        <v>113</v>
      </c>
      <c r="E74" s="6">
        <v>2025</v>
      </c>
      <c r="F74" s="16"/>
      <c r="G74" s="10"/>
      <c r="H74" s="16"/>
      <c r="I74" s="10"/>
      <c r="J74" s="16"/>
      <c r="K74" s="10"/>
      <c r="L74" s="16"/>
      <c r="M74" s="10"/>
      <c r="N74" s="16"/>
      <c r="O74" s="10"/>
      <c r="P74" s="16"/>
      <c r="Q74" s="10"/>
      <c r="R74" s="16"/>
      <c r="S74" s="10"/>
      <c r="T74" s="16"/>
      <c r="U74" s="10"/>
      <c r="V74" s="16"/>
      <c r="W74" s="10"/>
      <c r="X74" s="16"/>
      <c r="Y74" s="10"/>
      <c r="Z74" s="16"/>
      <c r="AA74" s="10"/>
      <c r="AB74" s="16"/>
      <c r="AC74" s="10"/>
      <c r="AD74" s="16">
        <f t="shared" si="117"/>
        <v>0</v>
      </c>
      <c r="AE74" s="10"/>
      <c r="AF74" s="16">
        <f t="shared" si="118"/>
        <v>0</v>
      </c>
      <c r="AG74" s="16">
        <f t="shared" si="119"/>
        <v>0</v>
      </c>
      <c r="AH74" s="16">
        <f t="shared" si="120"/>
        <v>0</v>
      </c>
      <c r="AI74" s="18">
        <f t="shared" si="121"/>
        <v>0</v>
      </c>
      <c r="AJ74" s="14"/>
    </row>
    <row r="75" spans="1:36" x14ac:dyDescent="0.15">
      <c r="A75" s="5" t="s">
        <v>36</v>
      </c>
      <c r="B75" s="6" t="s">
        <v>37</v>
      </c>
      <c r="C75" s="7" t="s">
        <v>38</v>
      </c>
      <c r="D75" s="37" t="s">
        <v>114</v>
      </c>
      <c r="E75" s="6">
        <v>2025</v>
      </c>
      <c r="F75" s="16"/>
      <c r="G75" s="10"/>
      <c r="H75" s="16"/>
      <c r="I75" s="10"/>
      <c r="J75" s="16"/>
      <c r="K75" s="10"/>
      <c r="L75" s="16"/>
      <c r="M75" s="10"/>
      <c r="N75" s="16"/>
      <c r="O75" s="10"/>
      <c r="P75" s="16"/>
      <c r="Q75" s="10"/>
      <c r="R75" s="16"/>
      <c r="S75" s="10"/>
      <c r="T75" s="16"/>
      <c r="U75" s="10"/>
      <c r="V75" s="16"/>
      <c r="W75" s="10"/>
      <c r="X75" s="16"/>
      <c r="Y75" s="10"/>
      <c r="Z75" s="16"/>
      <c r="AA75" s="10"/>
      <c r="AB75" s="16"/>
      <c r="AC75" s="10"/>
      <c r="AD75" s="16">
        <f t="shared" si="117"/>
        <v>0</v>
      </c>
      <c r="AE75" s="10"/>
      <c r="AF75" s="16">
        <f t="shared" si="118"/>
        <v>0</v>
      </c>
      <c r="AG75" s="16">
        <f t="shared" si="119"/>
        <v>0</v>
      </c>
      <c r="AH75" s="16">
        <f t="shared" si="120"/>
        <v>0</v>
      </c>
      <c r="AI75" s="18">
        <f t="shared" si="121"/>
        <v>0</v>
      </c>
      <c r="AJ75" s="14"/>
    </row>
    <row r="76" spans="1:36" x14ac:dyDescent="0.15">
      <c r="A76" s="5" t="s">
        <v>36</v>
      </c>
      <c r="B76" s="6" t="s">
        <v>37</v>
      </c>
      <c r="C76" s="7" t="s">
        <v>38</v>
      </c>
      <c r="D76" s="37" t="s">
        <v>115</v>
      </c>
      <c r="E76" s="6">
        <v>2025</v>
      </c>
      <c r="F76" s="16"/>
      <c r="G76" s="10"/>
      <c r="H76" s="16"/>
      <c r="I76" s="10"/>
      <c r="J76" s="16"/>
      <c r="K76" s="10"/>
      <c r="L76" s="16"/>
      <c r="M76" s="10"/>
      <c r="N76" s="16"/>
      <c r="O76" s="10"/>
      <c r="P76" s="16"/>
      <c r="Q76" s="10"/>
      <c r="R76" s="16"/>
      <c r="S76" s="10"/>
      <c r="T76" s="16"/>
      <c r="U76" s="10"/>
      <c r="V76" s="16"/>
      <c r="W76" s="10"/>
      <c r="X76" s="16"/>
      <c r="Y76" s="10"/>
      <c r="Z76" s="16"/>
      <c r="AA76" s="10"/>
      <c r="AB76" s="16"/>
      <c r="AC76" s="10"/>
      <c r="AD76" s="16">
        <f t="shared" si="117"/>
        <v>0</v>
      </c>
      <c r="AE76" s="10"/>
      <c r="AF76" s="16">
        <f t="shared" si="118"/>
        <v>0</v>
      </c>
      <c r="AG76" s="16">
        <f t="shared" si="119"/>
        <v>0</v>
      </c>
      <c r="AH76" s="16">
        <f t="shared" si="120"/>
        <v>0</v>
      </c>
      <c r="AI76" s="18">
        <f t="shared" si="121"/>
        <v>0</v>
      </c>
      <c r="AJ76" s="14"/>
    </row>
    <row r="77" spans="1:36" x14ac:dyDescent="0.15">
      <c r="A77" s="5" t="s">
        <v>36</v>
      </c>
      <c r="B77" s="6" t="s">
        <v>37</v>
      </c>
      <c r="C77" s="7" t="s">
        <v>38</v>
      </c>
      <c r="D77" s="37" t="s">
        <v>116</v>
      </c>
      <c r="E77" s="6">
        <v>2025</v>
      </c>
      <c r="F77" s="16"/>
      <c r="G77" s="10"/>
      <c r="H77" s="16"/>
      <c r="I77" s="10"/>
      <c r="J77" s="16"/>
      <c r="K77" s="10"/>
      <c r="L77" s="16"/>
      <c r="M77" s="10"/>
      <c r="N77" s="16"/>
      <c r="O77" s="10"/>
      <c r="P77" s="16"/>
      <c r="Q77" s="10"/>
      <c r="R77" s="16"/>
      <c r="S77" s="10"/>
      <c r="T77" s="16"/>
      <c r="U77" s="10"/>
      <c r="V77" s="16"/>
      <c r="W77" s="10"/>
      <c r="X77" s="16"/>
      <c r="Y77" s="10"/>
      <c r="Z77" s="16"/>
      <c r="AA77" s="10"/>
      <c r="AB77" s="16"/>
      <c r="AC77" s="10"/>
      <c r="AD77" s="16">
        <f t="shared" si="117"/>
        <v>0</v>
      </c>
      <c r="AE77" s="10"/>
      <c r="AF77" s="16">
        <f t="shared" si="118"/>
        <v>0</v>
      </c>
      <c r="AG77" s="16">
        <f t="shared" si="119"/>
        <v>0</v>
      </c>
      <c r="AH77" s="16">
        <f t="shared" si="120"/>
        <v>0</v>
      </c>
      <c r="AI77" s="18">
        <f t="shared" si="121"/>
        <v>0</v>
      </c>
      <c r="AJ77" s="14"/>
    </row>
    <row r="78" spans="1:36" x14ac:dyDescent="0.15">
      <c r="A78" s="5" t="s">
        <v>36</v>
      </c>
      <c r="B78" s="6" t="s">
        <v>37</v>
      </c>
      <c r="C78" s="7" t="s">
        <v>38</v>
      </c>
      <c r="D78" s="37" t="s">
        <v>117</v>
      </c>
      <c r="E78" s="6">
        <v>2025</v>
      </c>
      <c r="F78" s="16"/>
      <c r="G78" s="10"/>
      <c r="H78" s="16"/>
      <c r="I78" s="10"/>
      <c r="J78" s="16"/>
      <c r="K78" s="10"/>
      <c r="L78" s="16"/>
      <c r="M78" s="10"/>
      <c r="N78" s="16"/>
      <c r="O78" s="10"/>
      <c r="P78" s="16"/>
      <c r="Q78" s="10"/>
      <c r="R78" s="16"/>
      <c r="S78" s="10"/>
      <c r="T78" s="16"/>
      <c r="U78" s="10"/>
      <c r="V78" s="16"/>
      <c r="W78" s="10"/>
      <c r="X78" s="16"/>
      <c r="Y78" s="10"/>
      <c r="Z78" s="16"/>
      <c r="AA78" s="10"/>
      <c r="AB78" s="16"/>
      <c r="AC78" s="10"/>
      <c r="AD78" s="16">
        <f t="shared" si="117"/>
        <v>0</v>
      </c>
      <c r="AE78" s="10"/>
      <c r="AF78" s="16">
        <f t="shared" si="118"/>
        <v>0</v>
      </c>
      <c r="AG78" s="16">
        <f t="shared" si="119"/>
        <v>0</v>
      </c>
      <c r="AH78" s="16">
        <f t="shared" si="120"/>
        <v>0</v>
      </c>
      <c r="AI78" s="18">
        <f t="shared" si="121"/>
        <v>0</v>
      </c>
      <c r="AJ78" s="14"/>
    </row>
    <row r="79" spans="1:36" x14ac:dyDescent="0.15">
      <c r="A79" s="5" t="s">
        <v>36</v>
      </c>
      <c r="B79" s="6" t="s">
        <v>37</v>
      </c>
      <c r="C79" s="7" t="s">
        <v>38</v>
      </c>
      <c r="D79" s="37" t="s">
        <v>118</v>
      </c>
      <c r="E79" s="6">
        <v>2025</v>
      </c>
      <c r="F79" s="16"/>
      <c r="G79" s="10"/>
      <c r="H79" s="16"/>
      <c r="I79" s="10"/>
      <c r="J79" s="16"/>
      <c r="K79" s="10"/>
      <c r="L79" s="16"/>
      <c r="M79" s="10"/>
      <c r="N79" s="16"/>
      <c r="O79" s="10"/>
      <c r="P79" s="16"/>
      <c r="Q79" s="10"/>
      <c r="R79" s="16"/>
      <c r="S79" s="10"/>
      <c r="T79" s="16"/>
      <c r="U79" s="10"/>
      <c r="V79" s="16"/>
      <c r="W79" s="10"/>
      <c r="X79" s="16"/>
      <c r="Y79" s="10"/>
      <c r="Z79" s="16"/>
      <c r="AA79" s="10"/>
      <c r="AB79" s="16"/>
      <c r="AC79" s="10"/>
      <c r="AD79" s="16">
        <f t="shared" si="117"/>
        <v>0</v>
      </c>
      <c r="AE79" s="10"/>
      <c r="AF79" s="16">
        <f t="shared" si="118"/>
        <v>0</v>
      </c>
      <c r="AG79" s="16">
        <f t="shared" si="119"/>
        <v>0</v>
      </c>
      <c r="AH79" s="16">
        <f t="shared" si="120"/>
        <v>0</v>
      </c>
      <c r="AI79" s="18">
        <f t="shared" si="121"/>
        <v>0</v>
      </c>
      <c r="AJ79" s="14"/>
    </row>
    <row r="80" spans="1:36" x14ac:dyDescent="0.15">
      <c r="A80" s="5" t="s">
        <v>36</v>
      </c>
      <c r="B80" s="6" t="s">
        <v>37</v>
      </c>
      <c r="C80" s="7" t="s">
        <v>38</v>
      </c>
      <c r="D80" s="37" t="s">
        <v>119</v>
      </c>
      <c r="E80" s="6">
        <v>2025</v>
      </c>
      <c r="F80" s="16"/>
      <c r="G80" s="10"/>
      <c r="H80" s="16"/>
      <c r="I80" s="10"/>
      <c r="J80" s="16"/>
      <c r="K80" s="10"/>
      <c r="L80" s="16"/>
      <c r="M80" s="10"/>
      <c r="N80" s="16"/>
      <c r="O80" s="10"/>
      <c r="P80" s="16"/>
      <c r="Q80" s="10"/>
      <c r="R80" s="16"/>
      <c r="S80" s="10"/>
      <c r="T80" s="16"/>
      <c r="U80" s="10"/>
      <c r="V80" s="16"/>
      <c r="W80" s="10"/>
      <c r="X80" s="16"/>
      <c r="Y80" s="10"/>
      <c r="Z80" s="16"/>
      <c r="AA80" s="10"/>
      <c r="AB80" s="16"/>
      <c r="AC80" s="10"/>
      <c r="AD80" s="16">
        <f t="shared" si="117"/>
        <v>0</v>
      </c>
      <c r="AE80" s="10"/>
      <c r="AF80" s="16">
        <f t="shared" si="118"/>
        <v>0</v>
      </c>
      <c r="AG80" s="16">
        <f t="shared" si="119"/>
        <v>0</v>
      </c>
      <c r="AH80" s="16">
        <f t="shared" si="120"/>
        <v>0</v>
      </c>
      <c r="AI80" s="18">
        <f t="shared" si="121"/>
        <v>0</v>
      </c>
      <c r="AJ80" s="14"/>
    </row>
    <row r="81" spans="1:36" x14ac:dyDescent="0.15">
      <c r="A81" s="5" t="s">
        <v>36</v>
      </c>
      <c r="B81" s="6" t="s">
        <v>37</v>
      </c>
      <c r="C81" s="7" t="s">
        <v>38</v>
      </c>
      <c r="D81" s="37" t="s">
        <v>120</v>
      </c>
      <c r="E81" s="6">
        <v>2025</v>
      </c>
      <c r="F81" s="16"/>
      <c r="G81" s="10"/>
      <c r="H81" s="16"/>
      <c r="I81" s="10"/>
      <c r="J81" s="16"/>
      <c r="K81" s="10"/>
      <c r="L81" s="16"/>
      <c r="M81" s="10"/>
      <c r="N81" s="16"/>
      <c r="O81" s="10"/>
      <c r="P81" s="16"/>
      <c r="Q81" s="10"/>
      <c r="R81" s="16"/>
      <c r="S81" s="10"/>
      <c r="T81" s="16"/>
      <c r="U81" s="10"/>
      <c r="V81" s="16"/>
      <c r="W81" s="10"/>
      <c r="X81" s="16"/>
      <c r="Y81" s="10"/>
      <c r="Z81" s="16"/>
      <c r="AA81" s="10"/>
      <c r="AB81" s="16"/>
      <c r="AC81" s="10"/>
      <c r="AD81" s="16">
        <f t="shared" si="117"/>
        <v>0</v>
      </c>
      <c r="AE81" s="10"/>
      <c r="AF81" s="16">
        <f t="shared" si="118"/>
        <v>0</v>
      </c>
      <c r="AG81" s="16">
        <f t="shared" si="119"/>
        <v>0</v>
      </c>
      <c r="AH81" s="16">
        <f t="shared" si="120"/>
        <v>0</v>
      </c>
      <c r="AI81" s="18">
        <f t="shared" si="121"/>
        <v>0</v>
      </c>
      <c r="AJ81" s="14"/>
    </row>
    <row r="82" spans="1:36" s="33" customFormat="1" ht="16.5" x14ac:dyDescent="0.15">
      <c r="A82" s="5" t="s">
        <v>36</v>
      </c>
      <c r="B82" s="6" t="s">
        <v>37</v>
      </c>
      <c r="C82" s="7" t="s">
        <v>38</v>
      </c>
      <c r="D82" s="8" t="s">
        <v>121</v>
      </c>
      <c r="E82" s="6">
        <v>2025</v>
      </c>
      <c r="F82" s="26">
        <f t="shared" ref="F82:J82" si="122">SUM(F83:F84)</f>
        <v>0</v>
      </c>
      <c r="G82" s="10" t="str">
        <f t="shared" ref="G82:K82" si="123">IFERROR(F82/F$9,"")</f>
        <v/>
      </c>
      <c r="H82" s="26">
        <f t="shared" si="122"/>
        <v>0</v>
      </c>
      <c r="I82" s="10" t="str">
        <f t="shared" si="123"/>
        <v/>
      </c>
      <c r="J82" s="26">
        <f t="shared" si="122"/>
        <v>0</v>
      </c>
      <c r="K82" s="10" t="str">
        <f t="shared" si="123"/>
        <v/>
      </c>
      <c r="L82" s="26">
        <f t="shared" ref="L82:P82" si="124">SUM(L83:L84)</f>
        <v>0</v>
      </c>
      <c r="M82" s="10" t="str">
        <f t="shared" ref="M82:Q82" si="125">IFERROR(L82/L$9,"")</f>
        <v/>
      </c>
      <c r="N82" s="26">
        <f t="shared" si="124"/>
        <v>0</v>
      </c>
      <c r="O82" s="10" t="str">
        <f t="shared" si="125"/>
        <v/>
      </c>
      <c r="P82" s="26">
        <f t="shared" si="124"/>
        <v>0</v>
      </c>
      <c r="Q82" s="10" t="str">
        <f t="shared" si="125"/>
        <v/>
      </c>
      <c r="R82" s="26">
        <f t="shared" ref="R82:V82" si="126">SUM(R83:R84)</f>
        <v>0</v>
      </c>
      <c r="S82" s="10" t="str">
        <f t="shared" ref="S82:W82" si="127">IFERROR(R82/R$9,"")</f>
        <v/>
      </c>
      <c r="T82" s="26">
        <f t="shared" si="126"/>
        <v>0</v>
      </c>
      <c r="U82" s="10" t="str">
        <f t="shared" si="127"/>
        <v/>
      </c>
      <c r="V82" s="26">
        <f t="shared" si="126"/>
        <v>0</v>
      </c>
      <c r="W82" s="10" t="str">
        <f t="shared" si="127"/>
        <v/>
      </c>
      <c r="X82" s="26">
        <f t="shared" ref="X82:AB82" si="128">SUM(X83:X84)</f>
        <v>0</v>
      </c>
      <c r="Y82" s="10" t="str">
        <f t="shared" ref="Y82:AC82" si="129">IFERROR(X82/X$9,"")</f>
        <v/>
      </c>
      <c r="Z82" s="26">
        <f t="shared" si="128"/>
        <v>0</v>
      </c>
      <c r="AA82" s="10" t="str">
        <f t="shared" si="129"/>
        <v/>
      </c>
      <c r="AB82" s="26">
        <f t="shared" si="128"/>
        <v>0</v>
      </c>
      <c r="AC82" s="10" t="str">
        <f t="shared" si="129"/>
        <v/>
      </c>
      <c r="AD82" s="26">
        <f>SUM(AD83:AD84)</f>
        <v>0</v>
      </c>
      <c r="AE82" s="10" t="str">
        <f>IFERROR(AD82/AD$9,"")</f>
        <v/>
      </c>
      <c r="AF82" s="26">
        <f>SUM(AF83:AF84)</f>
        <v>0</v>
      </c>
      <c r="AG82" s="26">
        <f>SUM(AG83:AG84)</f>
        <v>0</v>
      </c>
      <c r="AH82" s="26">
        <f>SUM(AH83:AH84)</f>
        <v>0</v>
      </c>
      <c r="AI82" s="27">
        <f>SUM(AI83:AI84)</f>
        <v>0</v>
      </c>
      <c r="AJ82" s="14" t="s">
        <v>50</v>
      </c>
    </row>
    <row r="83" spans="1:36" x14ac:dyDescent="0.15">
      <c r="A83" s="5" t="s">
        <v>36</v>
      </c>
      <c r="B83" s="6" t="s">
        <v>37</v>
      </c>
      <c r="C83" s="7" t="s">
        <v>38</v>
      </c>
      <c r="D83" s="37" t="s">
        <v>122</v>
      </c>
      <c r="E83" s="6">
        <v>2025</v>
      </c>
      <c r="F83" s="16"/>
      <c r="G83" s="10"/>
      <c r="H83" s="16"/>
      <c r="I83" s="10"/>
      <c r="J83" s="16"/>
      <c r="K83" s="10"/>
      <c r="L83" s="16"/>
      <c r="M83" s="10"/>
      <c r="N83" s="16"/>
      <c r="O83" s="10"/>
      <c r="P83" s="16"/>
      <c r="Q83" s="10"/>
      <c r="R83" s="16"/>
      <c r="S83" s="10"/>
      <c r="T83" s="16"/>
      <c r="U83" s="10"/>
      <c r="V83" s="16"/>
      <c r="W83" s="10"/>
      <c r="X83" s="16"/>
      <c r="Y83" s="10"/>
      <c r="Z83" s="16"/>
      <c r="AA83" s="10"/>
      <c r="AB83" s="16"/>
      <c r="AC83" s="10"/>
      <c r="AD83" s="16">
        <f t="shared" ref="AD83:AD107" si="130">SUM(F83,H83,J83,L83,N83,P83,R83,T83,V83,X83,Z83,AB83)</f>
        <v>0</v>
      </c>
      <c r="AE83" s="10"/>
      <c r="AF83" s="16">
        <f t="shared" ref="AF83:AF107" si="131">SUM(F83,H83,J83)</f>
        <v>0</v>
      </c>
      <c r="AG83" s="16">
        <f t="shared" ref="AG83:AG107" si="132">SUM(L83,N83,P83)</f>
        <v>0</v>
      </c>
      <c r="AH83" s="16">
        <f t="shared" ref="AH83:AH107" si="133">SUM(R83,T83,V83)</f>
        <v>0</v>
      </c>
      <c r="AI83" s="18">
        <f t="shared" ref="AI83:AI107" si="134">SUM(X83,Z83,AB83)</f>
        <v>0</v>
      </c>
      <c r="AJ83" s="14"/>
    </row>
    <row r="84" spans="1:36" x14ac:dyDescent="0.15">
      <c r="A84" s="5" t="s">
        <v>36</v>
      </c>
      <c r="B84" s="6" t="s">
        <v>37</v>
      </c>
      <c r="C84" s="7" t="s">
        <v>38</v>
      </c>
      <c r="D84" s="37" t="s">
        <v>123</v>
      </c>
      <c r="E84" s="6">
        <v>2025</v>
      </c>
      <c r="F84" s="16"/>
      <c r="G84" s="10"/>
      <c r="H84" s="16"/>
      <c r="I84" s="10"/>
      <c r="J84" s="16"/>
      <c r="K84" s="10"/>
      <c r="L84" s="16"/>
      <c r="M84" s="10"/>
      <c r="N84" s="16"/>
      <c r="O84" s="10"/>
      <c r="P84" s="16"/>
      <c r="Q84" s="10"/>
      <c r="R84" s="16"/>
      <c r="S84" s="10"/>
      <c r="T84" s="16"/>
      <c r="U84" s="10"/>
      <c r="V84" s="16"/>
      <c r="W84" s="10"/>
      <c r="X84" s="16"/>
      <c r="Y84" s="10"/>
      <c r="Z84" s="16"/>
      <c r="AA84" s="10"/>
      <c r="AB84" s="16"/>
      <c r="AC84" s="10"/>
      <c r="AD84" s="16">
        <f t="shared" si="130"/>
        <v>0</v>
      </c>
      <c r="AE84" s="10"/>
      <c r="AF84" s="16">
        <f t="shared" si="131"/>
        <v>0</v>
      </c>
      <c r="AG84" s="16">
        <f t="shared" si="132"/>
        <v>0</v>
      </c>
      <c r="AH84" s="16">
        <f t="shared" si="133"/>
        <v>0</v>
      </c>
      <c r="AI84" s="18">
        <f t="shared" si="134"/>
        <v>0</v>
      </c>
      <c r="AJ84" s="14"/>
    </row>
    <row r="85" spans="1:36" s="33" customFormat="1" ht="16.5" x14ac:dyDescent="0.15">
      <c r="A85" s="5" t="s">
        <v>36</v>
      </c>
      <c r="B85" s="6" t="s">
        <v>37</v>
      </c>
      <c r="C85" s="7" t="s">
        <v>38</v>
      </c>
      <c r="D85" s="8" t="s">
        <v>124</v>
      </c>
      <c r="E85" s="6">
        <v>2025</v>
      </c>
      <c r="F85" s="26">
        <f t="shared" ref="F85:J85" si="135">SUM(F86:F107)</f>
        <v>0</v>
      </c>
      <c r="G85" s="10" t="str">
        <f t="shared" ref="G85:K85" si="136">IFERROR(F85/F$9,"")</f>
        <v/>
      </c>
      <c r="H85" s="26">
        <f t="shared" si="135"/>
        <v>0</v>
      </c>
      <c r="I85" s="10" t="str">
        <f t="shared" si="136"/>
        <v/>
      </c>
      <c r="J85" s="26">
        <f t="shared" si="135"/>
        <v>0</v>
      </c>
      <c r="K85" s="10" t="str">
        <f t="shared" si="136"/>
        <v/>
      </c>
      <c r="L85" s="26">
        <f t="shared" ref="L85:P85" si="137">SUM(L86:L107)</f>
        <v>0</v>
      </c>
      <c r="M85" s="10" t="str">
        <f t="shared" ref="M85:Q85" si="138">IFERROR(L85/L$9,"")</f>
        <v/>
      </c>
      <c r="N85" s="26">
        <f t="shared" si="137"/>
        <v>0</v>
      </c>
      <c r="O85" s="10" t="str">
        <f t="shared" si="138"/>
        <v/>
      </c>
      <c r="P85" s="26">
        <f t="shared" si="137"/>
        <v>0</v>
      </c>
      <c r="Q85" s="10" t="str">
        <f t="shared" si="138"/>
        <v/>
      </c>
      <c r="R85" s="26">
        <f t="shared" ref="R85:V85" si="139">SUM(R86:R107)</f>
        <v>0</v>
      </c>
      <c r="S85" s="10" t="str">
        <f t="shared" ref="S85:W85" si="140">IFERROR(R85/R$9,"")</f>
        <v/>
      </c>
      <c r="T85" s="26">
        <f t="shared" si="139"/>
        <v>0</v>
      </c>
      <c r="U85" s="10" t="str">
        <f t="shared" si="140"/>
        <v/>
      </c>
      <c r="V85" s="26">
        <f t="shared" si="139"/>
        <v>0</v>
      </c>
      <c r="W85" s="10" t="str">
        <f t="shared" si="140"/>
        <v/>
      </c>
      <c r="X85" s="26">
        <f t="shared" ref="X85:AB85" si="141">SUM(X86:X107)</f>
        <v>0</v>
      </c>
      <c r="Y85" s="10" t="str">
        <f t="shared" ref="Y85:AC85" si="142">IFERROR(X85/X$9,"")</f>
        <v/>
      </c>
      <c r="Z85" s="26">
        <f t="shared" si="141"/>
        <v>0</v>
      </c>
      <c r="AA85" s="10" t="str">
        <f t="shared" si="142"/>
        <v/>
      </c>
      <c r="AB85" s="26">
        <f t="shared" si="141"/>
        <v>0</v>
      </c>
      <c r="AC85" s="10" t="str">
        <f t="shared" si="142"/>
        <v/>
      </c>
      <c r="AD85" s="26">
        <f>SUM(AD86:AD107)</f>
        <v>0</v>
      </c>
      <c r="AE85" s="10" t="str">
        <f>IFERROR(AD85/AD$9,"")</f>
        <v/>
      </c>
      <c r="AF85" s="26">
        <f>SUM(AF86:AF107)</f>
        <v>0</v>
      </c>
      <c r="AG85" s="26">
        <f>SUM(AG86:AG107)</f>
        <v>0</v>
      </c>
      <c r="AH85" s="26">
        <f>SUM(AH86:AH107)</f>
        <v>0</v>
      </c>
      <c r="AI85" s="26">
        <f>SUM(AI86:AI107)</f>
        <v>0</v>
      </c>
      <c r="AJ85" s="14" t="s">
        <v>50</v>
      </c>
    </row>
    <row r="86" spans="1:36" x14ac:dyDescent="0.15">
      <c r="A86" s="5" t="s">
        <v>36</v>
      </c>
      <c r="B86" s="6" t="s">
        <v>37</v>
      </c>
      <c r="C86" s="7" t="s">
        <v>38</v>
      </c>
      <c r="D86" s="37" t="s">
        <v>125</v>
      </c>
      <c r="E86" s="6">
        <v>2025</v>
      </c>
      <c r="F86" s="16"/>
      <c r="G86" s="10"/>
      <c r="H86" s="16"/>
      <c r="I86" s="10"/>
      <c r="J86" s="16"/>
      <c r="K86" s="10"/>
      <c r="L86" s="16"/>
      <c r="M86" s="10"/>
      <c r="N86" s="16"/>
      <c r="O86" s="10"/>
      <c r="P86" s="16"/>
      <c r="Q86" s="10"/>
      <c r="R86" s="16"/>
      <c r="S86" s="10"/>
      <c r="T86" s="16"/>
      <c r="U86" s="10"/>
      <c r="V86" s="16"/>
      <c r="W86" s="10"/>
      <c r="X86" s="16"/>
      <c r="Y86" s="10"/>
      <c r="Z86" s="16"/>
      <c r="AA86" s="10"/>
      <c r="AB86" s="16"/>
      <c r="AC86" s="10"/>
      <c r="AD86" s="16">
        <f t="shared" si="130"/>
        <v>0</v>
      </c>
      <c r="AE86" s="10"/>
      <c r="AF86" s="16">
        <f t="shared" si="131"/>
        <v>0</v>
      </c>
      <c r="AG86" s="16">
        <f t="shared" si="132"/>
        <v>0</v>
      </c>
      <c r="AH86" s="16">
        <f t="shared" si="133"/>
        <v>0</v>
      </c>
      <c r="AI86" s="18">
        <f t="shared" si="134"/>
        <v>0</v>
      </c>
      <c r="AJ86" s="14"/>
    </row>
    <row r="87" spans="1:36" x14ac:dyDescent="0.15">
      <c r="A87" s="5" t="s">
        <v>36</v>
      </c>
      <c r="B87" s="6" t="s">
        <v>37</v>
      </c>
      <c r="C87" s="7" t="s">
        <v>38</v>
      </c>
      <c r="D87" s="37" t="s">
        <v>126</v>
      </c>
      <c r="E87" s="6">
        <v>2025</v>
      </c>
      <c r="F87" s="16"/>
      <c r="G87" s="10"/>
      <c r="H87" s="16"/>
      <c r="I87" s="10"/>
      <c r="J87" s="16"/>
      <c r="K87" s="10"/>
      <c r="L87" s="16"/>
      <c r="M87" s="10"/>
      <c r="N87" s="16"/>
      <c r="O87" s="10"/>
      <c r="P87" s="16"/>
      <c r="Q87" s="10"/>
      <c r="R87" s="16"/>
      <c r="S87" s="10"/>
      <c r="T87" s="16"/>
      <c r="U87" s="10"/>
      <c r="V87" s="16"/>
      <c r="W87" s="10"/>
      <c r="X87" s="16"/>
      <c r="Y87" s="10"/>
      <c r="Z87" s="16"/>
      <c r="AA87" s="10"/>
      <c r="AB87" s="16"/>
      <c r="AC87" s="10"/>
      <c r="AD87" s="16">
        <f t="shared" si="130"/>
        <v>0</v>
      </c>
      <c r="AE87" s="10"/>
      <c r="AF87" s="16">
        <f t="shared" si="131"/>
        <v>0</v>
      </c>
      <c r="AG87" s="16">
        <f t="shared" si="132"/>
        <v>0</v>
      </c>
      <c r="AH87" s="16">
        <f t="shared" si="133"/>
        <v>0</v>
      </c>
      <c r="AI87" s="18">
        <f t="shared" si="134"/>
        <v>0</v>
      </c>
      <c r="AJ87" s="14"/>
    </row>
    <row r="88" spans="1:36" x14ac:dyDescent="0.15">
      <c r="A88" s="5" t="s">
        <v>36</v>
      </c>
      <c r="B88" s="6" t="s">
        <v>37</v>
      </c>
      <c r="C88" s="7" t="s">
        <v>38</v>
      </c>
      <c r="D88" s="37" t="s">
        <v>127</v>
      </c>
      <c r="E88" s="6">
        <v>2025</v>
      </c>
      <c r="F88" s="16"/>
      <c r="G88" s="10"/>
      <c r="H88" s="16"/>
      <c r="I88" s="10"/>
      <c r="J88" s="16"/>
      <c r="K88" s="10"/>
      <c r="L88" s="16"/>
      <c r="M88" s="10"/>
      <c r="N88" s="16"/>
      <c r="O88" s="10"/>
      <c r="P88" s="16"/>
      <c r="Q88" s="10"/>
      <c r="R88" s="16"/>
      <c r="S88" s="10"/>
      <c r="T88" s="16"/>
      <c r="U88" s="10"/>
      <c r="V88" s="16"/>
      <c r="W88" s="10"/>
      <c r="X88" s="16"/>
      <c r="Y88" s="10"/>
      <c r="Z88" s="16"/>
      <c r="AA88" s="10"/>
      <c r="AB88" s="16"/>
      <c r="AC88" s="10"/>
      <c r="AD88" s="16">
        <f t="shared" si="130"/>
        <v>0</v>
      </c>
      <c r="AE88" s="10"/>
      <c r="AF88" s="16">
        <f t="shared" si="131"/>
        <v>0</v>
      </c>
      <c r="AG88" s="16">
        <f t="shared" si="132"/>
        <v>0</v>
      </c>
      <c r="AH88" s="16">
        <f t="shared" si="133"/>
        <v>0</v>
      </c>
      <c r="AI88" s="18">
        <f t="shared" si="134"/>
        <v>0</v>
      </c>
      <c r="AJ88" s="14"/>
    </row>
    <row r="89" spans="1:36" x14ac:dyDescent="0.15">
      <c r="A89" s="5" t="s">
        <v>36</v>
      </c>
      <c r="B89" s="6" t="s">
        <v>37</v>
      </c>
      <c r="C89" s="7" t="s">
        <v>38</v>
      </c>
      <c r="D89" s="37" t="s">
        <v>128</v>
      </c>
      <c r="E89" s="6">
        <v>2025</v>
      </c>
      <c r="F89" s="16"/>
      <c r="G89" s="10"/>
      <c r="H89" s="16"/>
      <c r="I89" s="10"/>
      <c r="J89" s="16"/>
      <c r="K89" s="10"/>
      <c r="L89" s="16"/>
      <c r="M89" s="10"/>
      <c r="N89" s="16"/>
      <c r="O89" s="10"/>
      <c r="P89" s="16"/>
      <c r="Q89" s="10"/>
      <c r="R89" s="16"/>
      <c r="S89" s="10"/>
      <c r="T89" s="16"/>
      <c r="U89" s="10"/>
      <c r="V89" s="16"/>
      <c r="W89" s="10"/>
      <c r="X89" s="16"/>
      <c r="Y89" s="10"/>
      <c r="Z89" s="16"/>
      <c r="AA89" s="10"/>
      <c r="AB89" s="16"/>
      <c r="AC89" s="10"/>
      <c r="AD89" s="16">
        <f t="shared" si="130"/>
        <v>0</v>
      </c>
      <c r="AE89" s="10"/>
      <c r="AF89" s="16">
        <f t="shared" si="131"/>
        <v>0</v>
      </c>
      <c r="AG89" s="16">
        <f t="shared" si="132"/>
        <v>0</v>
      </c>
      <c r="AH89" s="16">
        <f t="shared" si="133"/>
        <v>0</v>
      </c>
      <c r="AI89" s="18">
        <f t="shared" si="134"/>
        <v>0</v>
      </c>
      <c r="AJ89" s="14"/>
    </row>
    <row r="90" spans="1:36" x14ac:dyDescent="0.15">
      <c r="A90" s="5" t="s">
        <v>36</v>
      </c>
      <c r="B90" s="6" t="s">
        <v>37</v>
      </c>
      <c r="C90" s="7" t="s">
        <v>38</v>
      </c>
      <c r="D90" s="37" t="s">
        <v>129</v>
      </c>
      <c r="E90" s="6">
        <v>2025</v>
      </c>
      <c r="F90" s="16"/>
      <c r="G90" s="10"/>
      <c r="H90" s="16"/>
      <c r="I90" s="10"/>
      <c r="J90" s="16"/>
      <c r="K90" s="10"/>
      <c r="L90" s="16"/>
      <c r="M90" s="10"/>
      <c r="N90" s="16"/>
      <c r="O90" s="10"/>
      <c r="P90" s="16"/>
      <c r="Q90" s="10"/>
      <c r="R90" s="16"/>
      <c r="S90" s="10"/>
      <c r="T90" s="16"/>
      <c r="U90" s="10"/>
      <c r="V90" s="16"/>
      <c r="W90" s="10"/>
      <c r="X90" s="16"/>
      <c r="Y90" s="10"/>
      <c r="Z90" s="16"/>
      <c r="AA90" s="10"/>
      <c r="AB90" s="16"/>
      <c r="AC90" s="10"/>
      <c r="AD90" s="16">
        <f t="shared" si="130"/>
        <v>0</v>
      </c>
      <c r="AE90" s="10"/>
      <c r="AF90" s="16">
        <f t="shared" si="131"/>
        <v>0</v>
      </c>
      <c r="AG90" s="16">
        <f t="shared" si="132"/>
        <v>0</v>
      </c>
      <c r="AH90" s="16">
        <f t="shared" si="133"/>
        <v>0</v>
      </c>
      <c r="AI90" s="18">
        <f t="shared" si="134"/>
        <v>0</v>
      </c>
      <c r="AJ90" s="14"/>
    </row>
    <row r="91" spans="1:36" x14ac:dyDescent="0.15">
      <c r="A91" s="5" t="s">
        <v>36</v>
      </c>
      <c r="B91" s="6" t="s">
        <v>37</v>
      </c>
      <c r="C91" s="7" t="s">
        <v>38</v>
      </c>
      <c r="D91" s="37" t="s">
        <v>130</v>
      </c>
      <c r="E91" s="6">
        <v>2025</v>
      </c>
      <c r="F91" s="16"/>
      <c r="G91" s="10"/>
      <c r="H91" s="16"/>
      <c r="I91" s="10"/>
      <c r="J91" s="16"/>
      <c r="K91" s="10"/>
      <c r="L91" s="16"/>
      <c r="M91" s="10"/>
      <c r="N91" s="16"/>
      <c r="O91" s="10"/>
      <c r="P91" s="16"/>
      <c r="Q91" s="10"/>
      <c r="R91" s="16"/>
      <c r="S91" s="10"/>
      <c r="T91" s="16"/>
      <c r="U91" s="10"/>
      <c r="V91" s="16"/>
      <c r="W91" s="10"/>
      <c r="X91" s="16"/>
      <c r="Y91" s="10"/>
      <c r="Z91" s="16"/>
      <c r="AA91" s="10"/>
      <c r="AB91" s="16"/>
      <c r="AC91" s="10"/>
      <c r="AD91" s="16">
        <f t="shared" si="130"/>
        <v>0</v>
      </c>
      <c r="AE91" s="10"/>
      <c r="AF91" s="16">
        <f t="shared" si="131"/>
        <v>0</v>
      </c>
      <c r="AG91" s="16">
        <f t="shared" si="132"/>
        <v>0</v>
      </c>
      <c r="AH91" s="16">
        <f t="shared" si="133"/>
        <v>0</v>
      </c>
      <c r="AI91" s="18">
        <f t="shared" si="134"/>
        <v>0</v>
      </c>
      <c r="AJ91" s="14"/>
    </row>
    <row r="92" spans="1:36" x14ac:dyDescent="0.15">
      <c r="A92" s="5" t="s">
        <v>36</v>
      </c>
      <c r="B92" s="6" t="s">
        <v>37</v>
      </c>
      <c r="C92" s="7" t="s">
        <v>38</v>
      </c>
      <c r="D92" s="37" t="s">
        <v>131</v>
      </c>
      <c r="E92" s="6">
        <v>2025</v>
      </c>
      <c r="F92" s="16"/>
      <c r="G92" s="10"/>
      <c r="H92" s="16"/>
      <c r="I92" s="10"/>
      <c r="J92" s="16"/>
      <c r="K92" s="10"/>
      <c r="L92" s="16"/>
      <c r="M92" s="10"/>
      <c r="N92" s="16"/>
      <c r="O92" s="10"/>
      <c r="P92" s="16"/>
      <c r="Q92" s="10"/>
      <c r="R92" s="16"/>
      <c r="S92" s="10"/>
      <c r="T92" s="16"/>
      <c r="U92" s="10"/>
      <c r="V92" s="16"/>
      <c r="W92" s="10"/>
      <c r="X92" s="16"/>
      <c r="Y92" s="10"/>
      <c r="Z92" s="16"/>
      <c r="AA92" s="10"/>
      <c r="AB92" s="16"/>
      <c r="AC92" s="10"/>
      <c r="AD92" s="16">
        <f t="shared" si="130"/>
        <v>0</v>
      </c>
      <c r="AE92" s="10"/>
      <c r="AF92" s="16">
        <f t="shared" si="131"/>
        <v>0</v>
      </c>
      <c r="AG92" s="16">
        <f t="shared" si="132"/>
        <v>0</v>
      </c>
      <c r="AH92" s="16">
        <f t="shared" si="133"/>
        <v>0</v>
      </c>
      <c r="AI92" s="18">
        <f t="shared" si="134"/>
        <v>0</v>
      </c>
      <c r="AJ92" s="14"/>
    </row>
    <row r="93" spans="1:36" x14ac:dyDescent="0.15">
      <c r="A93" s="5" t="s">
        <v>36</v>
      </c>
      <c r="B93" s="6" t="s">
        <v>37</v>
      </c>
      <c r="C93" s="7" t="s">
        <v>38</v>
      </c>
      <c r="D93" s="37" t="s">
        <v>132</v>
      </c>
      <c r="E93" s="6">
        <v>2025</v>
      </c>
      <c r="F93" s="16"/>
      <c r="G93" s="10"/>
      <c r="H93" s="16"/>
      <c r="I93" s="10"/>
      <c r="J93" s="16"/>
      <c r="K93" s="10"/>
      <c r="L93" s="16"/>
      <c r="M93" s="10"/>
      <c r="N93" s="16"/>
      <c r="O93" s="10"/>
      <c r="P93" s="16"/>
      <c r="Q93" s="10"/>
      <c r="R93" s="16"/>
      <c r="S93" s="10"/>
      <c r="T93" s="16"/>
      <c r="U93" s="10"/>
      <c r="V93" s="16"/>
      <c r="W93" s="10"/>
      <c r="X93" s="16"/>
      <c r="Y93" s="10"/>
      <c r="Z93" s="16"/>
      <c r="AA93" s="10"/>
      <c r="AB93" s="16"/>
      <c r="AC93" s="10"/>
      <c r="AD93" s="16">
        <f t="shared" si="130"/>
        <v>0</v>
      </c>
      <c r="AE93" s="10"/>
      <c r="AF93" s="16">
        <f t="shared" si="131"/>
        <v>0</v>
      </c>
      <c r="AG93" s="16">
        <f t="shared" si="132"/>
        <v>0</v>
      </c>
      <c r="AH93" s="16">
        <f t="shared" si="133"/>
        <v>0</v>
      </c>
      <c r="AI93" s="18">
        <f t="shared" si="134"/>
        <v>0</v>
      </c>
      <c r="AJ93" s="14"/>
    </row>
    <row r="94" spans="1:36" x14ac:dyDescent="0.15">
      <c r="A94" s="5" t="s">
        <v>36</v>
      </c>
      <c r="B94" s="6" t="s">
        <v>37</v>
      </c>
      <c r="C94" s="7" t="s">
        <v>38</v>
      </c>
      <c r="D94" s="37" t="s">
        <v>133</v>
      </c>
      <c r="E94" s="6">
        <v>2025</v>
      </c>
      <c r="F94" s="16"/>
      <c r="G94" s="10"/>
      <c r="H94" s="16"/>
      <c r="I94" s="10"/>
      <c r="J94" s="16"/>
      <c r="K94" s="10"/>
      <c r="L94" s="16"/>
      <c r="M94" s="10"/>
      <c r="N94" s="16"/>
      <c r="O94" s="10"/>
      <c r="P94" s="16"/>
      <c r="Q94" s="10"/>
      <c r="R94" s="16"/>
      <c r="S94" s="10"/>
      <c r="T94" s="16"/>
      <c r="U94" s="10"/>
      <c r="V94" s="16"/>
      <c r="W94" s="10"/>
      <c r="X94" s="16"/>
      <c r="Y94" s="10"/>
      <c r="Z94" s="16"/>
      <c r="AA94" s="10"/>
      <c r="AB94" s="16"/>
      <c r="AC94" s="10"/>
      <c r="AD94" s="16">
        <f t="shared" si="130"/>
        <v>0</v>
      </c>
      <c r="AE94" s="10"/>
      <c r="AF94" s="16">
        <f t="shared" si="131"/>
        <v>0</v>
      </c>
      <c r="AG94" s="16">
        <f t="shared" si="132"/>
        <v>0</v>
      </c>
      <c r="AH94" s="16">
        <f t="shared" si="133"/>
        <v>0</v>
      </c>
      <c r="AI94" s="18">
        <f t="shared" si="134"/>
        <v>0</v>
      </c>
      <c r="AJ94" s="14"/>
    </row>
    <row r="95" spans="1:36" x14ac:dyDescent="0.15">
      <c r="A95" s="5" t="s">
        <v>36</v>
      </c>
      <c r="B95" s="6" t="s">
        <v>37</v>
      </c>
      <c r="C95" s="7" t="s">
        <v>38</v>
      </c>
      <c r="D95" s="37" t="s">
        <v>134</v>
      </c>
      <c r="E95" s="6">
        <v>2025</v>
      </c>
      <c r="F95" s="16"/>
      <c r="G95" s="10"/>
      <c r="H95" s="16"/>
      <c r="I95" s="10"/>
      <c r="J95" s="16"/>
      <c r="K95" s="10"/>
      <c r="L95" s="16"/>
      <c r="M95" s="10"/>
      <c r="N95" s="16"/>
      <c r="O95" s="10"/>
      <c r="P95" s="16"/>
      <c r="Q95" s="10"/>
      <c r="R95" s="16"/>
      <c r="S95" s="10"/>
      <c r="T95" s="16"/>
      <c r="U95" s="10"/>
      <c r="V95" s="16"/>
      <c r="W95" s="10"/>
      <c r="X95" s="16"/>
      <c r="Y95" s="10"/>
      <c r="Z95" s="16"/>
      <c r="AA95" s="10"/>
      <c r="AB95" s="16"/>
      <c r="AC95" s="10"/>
      <c r="AD95" s="16">
        <f t="shared" si="130"/>
        <v>0</v>
      </c>
      <c r="AE95" s="10"/>
      <c r="AF95" s="16">
        <f t="shared" si="131"/>
        <v>0</v>
      </c>
      <c r="AG95" s="16">
        <f t="shared" si="132"/>
        <v>0</v>
      </c>
      <c r="AH95" s="16">
        <f t="shared" si="133"/>
        <v>0</v>
      </c>
      <c r="AI95" s="18">
        <f t="shared" si="134"/>
        <v>0</v>
      </c>
      <c r="AJ95" s="14"/>
    </row>
    <row r="96" spans="1:36" x14ac:dyDescent="0.15">
      <c r="A96" s="5" t="s">
        <v>36</v>
      </c>
      <c r="B96" s="6" t="s">
        <v>37</v>
      </c>
      <c r="C96" s="7" t="s">
        <v>38</v>
      </c>
      <c r="D96" s="37" t="s">
        <v>135</v>
      </c>
      <c r="E96" s="6">
        <v>2025</v>
      </c>
      <c r="F96" s="16"/>
      <c r="G96" s="10"/>
      <c r="H96" s="16"/>
      <c r="I96" s="10"/>
      <c r="J96" s="16"/>
      <c r="K96" s="10"/>
      <c r="L96" s="16"/>
      <c r="M96" s="10"/>
      <c r="N96" s="16"/>
      <c r="O96" s="10"/>
      <c r="P96" s="16"/>
      <c r="Q96" s="10"/>
      <c r="R96" s="16"/>
      <c r="S96" s="10"/>
      <c r="T96" s="16"/>
      <c r="U96" s="10"/>
      <c r="V96" s="16"/>
      <c r="W96" s="10"/>
      <c r="X96" s="16"/>
      <c r="Y96" s="10"/>
      <c r="Z96" s="16"/>
      <c r="AA96" s="10"/>
      <c r="AB96" s="16"/>
      <c r="AC96" s="10"/>
      <c r="AD96" s="16">
        <f t="shared" si="130"/>
        <v>0</v>
      </c>
      <c r="AE96" s="10"/>
      <c r="AF96" s="16">
        <f t="shared" si="131"/>
        <v>0</v>
      </c>
      <c r="AG96" s="16">
        <f t="shared" si="132"/>
        <v>0</v>
      </c>
      <c r="AH96" s="16">
        <f t="shared" si="133"/>
        <v>0</v>
      </c>
      <c r="AI96" s="18">
        <f t="shared" si="134"/>
        <v>0</v>
      </c>
      <c r="AJ96" s="14"/>
    </row>
    <row r="97" spans="1:36" x14ac:dyDescent="0.15">
      <c r="A97" s="5" t="s">
        <v>36</v>
      </c>
      <c r="B97" s="6" t="s">
        <v>37</v>
      </c>
      <c r="C97" s="7" t="s">
        <v>38</v>
      </c>
      <c r="D97" s="37" t="s">
        <v>136</v>
      </c>
      <c r="E97" s="6">
        <v>2025</v>
      </c>
      <c r="F97" s="16"/>
      <c r="G97" s="10"/>
      <c r="H97" s="16"/>
      <c r="I97" s="10"/>
      <c r="J97" s="16"/>
      <c r="K97" s="10"/>
      <c r="L97" s="16"/>
      <c r="M97" s="10"/>
      <c r="N97" s="16"/>
      <c r="O97" s="10"/>
      <c r="P97" s="16"/>
      <c r="Q97" s="10"/>
      <c r="R97" s="16"/>
      <c r="S97" s="10"/>
      <c r="T97" s="16"/>
      <c r="U97" s="10"/>
      <c r="V97" s="16"/>
      <c r="W97" s="10"/>
      <c r="X97" s="16"/>
      <c r="Y97" s="10"/>
      <c r="Z97" s="16"/>
      <c r="AA97" s="10"/>
      <c r="AB97" s="16"/>
      <c r="AC97" s="10"/>
      <c r="AD97" s="16">
        <f t="shared" si="130"/>
        <v>0</v>
      </c>
      <c r="AE97" s="10"/>
      <c r="AF97" s="16">
        <f t="shared" si="131"/>
        <v>0</v>
      </c>
      <c r="AG97" s="16">
        <f t="shared" si="132"/>
        <v>0</v>
      </c>
      <c r="AH97" s="16">
        <f t="shared" si="133"/>
        <v>0</v>
      </c>
      <c r="AI97" s="18">
        <f t="shared" si="134"/>
        <v>0</v>
      </c>
      <c r="AJ97" s="14"/>
    </row>
    <row r="98" spans="1:36" x14ac:dyDescent="0.15">
      <c r="A98" s="5" t="s">
        <v>36</v>
      </c>
      <c r="B98" s="6" t="s">
        <v>37</v>
      </c>
      <c r="C98" s="7" t="s">
        <v>38</v>
      </c>
      <c r="D98" s="37" t="s">
        <v>137</v>
      </c>
      <c r="E98" s="6">
        <v>2025</v>
      </c>
      <c r="F98" s="16"/>
      <c r="G98" s="10"/>
      <c r="H98" s="16"/>
      <c r="I98" s="10"/>
      <c r="J98" s="16"/>
      <c r="K98" s="10"/>
      <c r="L98" s="16"/>
      <c r="M98" s="10"/>
      <c r="N98" s="16"/>
      <c r="O98" s="10"/>
      <c r="P98" s="16"/>
      <c r="Q98" s="10"/>
      <c r="R98" s="16"/>
      <c r="S98" s="10"/>
      <c r="T98" s="16"/>
      <c r="U98" s="10"/>
      <c r="V98" s="16"/>
      <c r="W98" s="10"/>
      <c r="X98" s="16"/>
      <c r="Y98" s="10"/>
      <c r="Z98" s="16"/>
      <c r="AA98" s="10"/>
      <c r="AB98" s="16"/>
      <c r="AC98" s="10"/>
      <c r="AD98" s="16">
        <f t="shared" si="130"/>
        <v>0</v>
      </c>
      <c r="AE98" s="10"/>
      <c r="AF98" s="16">
        <f t="shared" si="131"/>
        <v>0</v>
      </c>
      <c r="AG98" s="16">
        <f t="shared" si="132"/>
        <v>0</v>
      </c>
      <c r="AH98" s="16">
        <f t="shared" si="133"/>
        <v>0</v>
      </c>
      <c r="AI98" s="18">
        <f t="shared" si="134"/>
        <v>0</v>
      </c>
      <c r="AJ98" s="14"/>
    </row>
    <row r="99" spans="1:36" x14ac:dyDescent="0.15">
      <c r="A99" s="5" t="s">
        <v>36</v>
      </c>
      <c r="B99" s="6" t="s">
        <v>37</v>
      </c>
      <c r="C99" s="7" t="s">
        <v>38</v>
      </c>
      <c r="D99" s="37" t="s">
        <v>138</v>
      </c>
      <c r="E99" s="6">
        <v>2025</v>
      </c>
      <c r="F99" s="16"/>
      <c r="G99" s="10"/>
      <c r="H99" s="16"/>
      <c r="I99" s="10"/>
      <c r="J99" s="16"/>
      <c r="K99" s="10"/>
      <c r="L99" s="16"/>
      <c r="M99" s="10"/>
      <c r="N99" s="16"/>
      <c r="O99" s="10"/>
      <c r="P99" s="16"/>
      <c r="Q99" s="10"/>
      <c r="R99" s="16"/>
      <c r="S99" s="10"/>
      <c r="T99" s="16"/>
      <c r="U99" s="10"/>
      <c r="V99" s="16"/>
      <c r="W99" s="10"/>
      <c r="X99" s="16"/>
      <c r="Y99" s="10"/>
      <c r="Z99" s="16"/>
      <c r="AA99" s="10"/>
      <c r="AB99" s="16"/>
      <c r="AC99" s="10"/>
      <c r="AD99" s="16">
        <f t="shared" si="130"/>
        <v>0</v>
      </c>
      <c r="AE99" s="10"/>
      <c r="AF99" s="16">
        <f t="shared" si="131"/>
        <v>0</v>
      </c>
      <c r="AG99" s="16">
        <f t="shared" si="132"/>
        <v>0</v>
      </c>
      <c r="AH99" s="16">
        <f t="shared" si="133"/>
        <v>0</v>
      </c>
      <c r="AI99" s="18">
        <f t="shared" si="134"/>
        <v>0</v>
      </c>
      <c r="AJ99" s="14"/>
    </row>
    <row r="100" spans="1:36" x14ac:dyDescent="0.15">
      <c r="A100" s="5" t="s">
        <v>36</v>
      </c>
      <c r="B100" s="6" t="s">
        <v>37</v>
      </c>
      <c r="C100" s="7" t="s">
        <v>38</v>
      </c>
      <c r="D100" s="37" t="s">
        <v>139</v>
      </c>
      <c r="E100" s="6">
        <v>2025</v>
      </c>
      <c r="F100" s="16"/>
      <c r="G100" s="10"/>
      <c r="H100" s="16"/>
      <c r="I100" s="10"/>
      <c r="J100" s="16"/>
      <c r="K100" s="10"/>
      <c r="L100" s="16"/>
      <c r="M100" s="10"/>
      <c r="N100" s="16"/>
      <c r="O100" s="10"/>
      <c r="P100" s="16"/>
      <c r="Q100" s="10"/>
      <c r="R100" s="16"/>
      <c r="S100" s="10"/>
      <c r="T100" s="16"/>
      <c r="U100" s="10"/>
      <c r="V100" s="16"/>
      <c r="W100" s="10"/>
      <c r="X100" s="16"/>
      <c r="Y100" s="10"/>
      <c r="Z100" s="16"/>
      <c r="AA100" s="10"/>
      <c r="AB100" s="16"/>
      <c r="AC100" s="10"/>
      <c r="AD100" s="16">
        <f t="shared" si="130"/>
        <v>0</v>
      </c>
      <c r="AE100" s="10"/>
      <c r="AF100" s="16">
        <f t="shared" si="131"/>
        <v>0</v>
      </c>
      <c r="AG100" s="16">
        <f t="shared" si="132"/>
        <v>0</v>
      </c>
      <c r="AH100" s="16">
        <f t="shared" si="133"/>
        <v>0</v>
      </c>
      <c r="AI100" s="18">
        <f t="shared" si="134"/>
        <v>0</v>
      </c>
      <c r="AJ100" s="14"/>
    </row>
    <row r="101" spans="1:36" x14ac:dyDescent="0.15">
      <c r="A101" s="5" t="s">
        <v>36</v>
      </c>
      <c r="B101" s="6" t="s">
        <v>37</v>
      </c>
      <c r="C101" s="7" t="s">
        <v>38</v>
      </c>
      <c r="D101" s="37" t="s">
        <v>140</v>
      </c>
      <c r="E101" s="6">
        <v>2025</v>
      </c>
      <c r="F101" s="16"/>
      <c r="G101" s="10"/>
      <c r="H101" s="16"/>
      <c r="I101" s="10"/>
      <c r="J101" s="16"/>
      <c r="K101" s="10"/>
      <c r="L101" s="16"/>
      <c r="M101" s="10"/>
      <c r="N101" s="16"/>
      <c r="O101" s="10"/>
      <c r="P101" s="16"/>
      <c r="Q101" s="10"/>
      <c r="R101" s="16"/>
      <c r="S101" s="10"/>
      <c r="T101" s="16"/>
      <c r="U101" s="10"/>
      <c r="V101" s="16"/>
      <c r="W101" s="10"/>
      <c r="X101" s="16"/>
      <c r="Y101" s="10"/>
      <c r="Z101" s="16"/>
      <c r="AA101" s="10"/>
      <c r="AB101" s="16"/>
      <c r="AC101" s="10"/>
      <c r="AD101" s="16">
        <f t="shared" si="130"/>
        <v>0</v>
      </c>
      <c r="AE101" s="10"/>
      <c r="AF101" s="16">
        <f t="shared" si="131"/>
        <v>0</v>
      </c>
      <c r="AG101" s="16">
        <f t="shared" si="132"/>
        <v>0</v>
      </c>
      <c r="AH101" s="16">
        <f t="shared" si="133"/>
        <v>0</v>
      </c>
      <c r="AI101" s="18">
        <f t="shared" si="134"/>
        <v>0</v>
      </c>
      <c r="AJ101" s="14"/>
    </row>
    <row r="102" spans="1:36" x14ac:dyDescent="0.15">
      <c r="A102" s="5" t="s">
        <v>36</v>
      </c>
      <c r="B102" s="6" t="s">
        <v>37</v>
      </c>
      <c r="C102" s="7" t="s">
        <v>38</v>
      </c>
      <c r="D102" s="37" t="s">
        <v>141</v>
      </c>
      <c r="E102" s="6">
        <v>2025</v>
      </c>
      <c r="F102" s="16"/>
      <c r="G102" s="10"/>
      <c r="H102" s="16"/>
      <c r="I102" s="10"/>
      <c r="J102" s="16"/>
      <c r="K102" s="10"/>
      <c r="L102" s="16"/>
      <c r="M102" s="10"/>
      <c r="N102" s="16"/>
      <c r="O102" s="10"/>
      <c r="P102" s="16"/>
      <c r="Q102" s="10"/>
      <c r="R102" s="16"/>
      <c r="S102" s="10"/>
      <c r="T102" s="16"/>
      <c r="U102" s="10"/>
      <c r="V102" s="16"/>
      <c r="W102" s="10"/>
      <c r="X102" s="16"/>
      <c r="Y102" s="10"/>
      <c r="Z102" s="16"/>
      <c r="AA102" s="10"/>
      <c r="AB102" s="16"/>
      <c r="AC102" s="10"/>
      <c r="AD102" s="16">
        <f t="shared" si="130"/>
        <v>0</v>
      </c>
      <c r="AE102" s="10"/>
      <c r="AF102" s="16">
        <f t="shared" si="131"/>
        <v>0</v>
      </c>
      <c r="AG102" s="16">
        <f t="shared" si="132"/>
        <v>0</v>
      </c>
      <c r="AH102" s="16">
        <f t="shared" si="133"/>
        <v>0</v>
      </c>
      <c r="AI102" s="18">
        <f t="shared" si="134"/>
        <v>0</v>
      </c>
      <c r="AJ102" s="14"/>
    </row>
    <row r="103" spans="1:36" x14ac:dyDescent="0.15">
      <c r="A103" s="5" t="s">
        <v>36</v>
      </c>
      <c r="B103" s="6" t="s">
        <v>37</v>
      </c>
      <c r="C103" s="7" t="s">
        <v>38</v>
      </c>
      <c r="D103" s="37" t="s">
        <v>142</v>
      </c>
      <c r="E103" s="6">
        <v>2025</v>
      </c>
      <c r="F103" s="16"/>
      <c r="G103" s="10"/>
      <c r="H103" s="16"/>
      <c r="I103" s="10"/>
      <c r="J103" s="16"/>
      <c r="K103" s="10"/>
      <c r="L103" s="16"/>
      <c r="M103" s="10"/>
      <c r="N103" s="16"/>
      <c r="O103" s="10"/>
      <c r="P103" s="16"/>
      <c r="Q103" s="10"/>
      <c r="R103" s="16"/>
      <c r="S103" s="10"/>
      <c r="T103" s="16"/>
      <c r="U103" s="10"/>
      <c r="V103" s="16"/>
      <c r="W103" s="10"/>
      <c r="X103" s="16"/>
      <c r="Y103" s="10"/>
      <c r="Z103" s="16"/>
      <c r="AA103" s="10"/>
      <c r="AB103" s="16"/>
      <c r="AC103" s="10"/>
      <c r="AD103" s="16">
        <f t="shared" si="130"/>
        <v>0</v>
      </c>
      <c r="AE103" s="10"/>
      <c r="AF103" s="16">
        <f t="shared" si="131"/>
        <v>0</v>
      </c>
      <c r="AG103" s="16">
        <f t="shared" si="132"/>
        <v>0</v>
      </c>
      <c r="AH103" s="16">
        <f t="shared" si="133"/>
        <v>0</v>
      </c>
      <c r="AI103" s="18">
        <f t="shared" si="134"/>
        <v>0</v>
      </c>
      <c r="AJ103" s="14"/>
    </row>
    <row r="104" spans="1:36" x14ac:dyDescent="0.15">
      <c r="A104" s="5" t="s">
        <v>36</v>
      </c>
      <c r="B104" s="6" t="s">
        <v>37</v>
      </c>
      <c r="C104" s="7" t="s">
        <v>38</v>
      </c>
      <c r="D104" s="37" t="s">
        <v>143</v>
      </c>
      <c r="E104" s="6">
        <v>2025</v>
      </c>
      <c r="F104" s="16"/>
      <c r="G104" s="10"/>
      <c r="H104" s="16"/>
      <c r="I104" s="10"/>
      <c r="J104" s="16"/>
      <c r="K104" s="10"/>
      <c r="L104" s="16"/>
      <c r="M104" s="10"/>
      <c r="N104" s="16"/>
      <c r="O104" s="10"/>
      <c r="P104" s="16"/>
      <c r="Q104" s="10"/>
      <c r="R104" s="16"/>
      <c r="S104" s="10"/>
      <c r="T104" s="16"/>
      <c r="U104" s="10"/>
      <c r="V104" s="16"/>
      <c r="W104" s="10"/>
      <c r="X104" s="16"/>
      <c r="Y104" s="10"/>
      <c r="Z104" s="16"/>
      <c r="AA104" s="10"/>
      <c r="AB104" s="16"/>
      <c r="AC104" s="10"/>
      <c r="AD104" s="16">
        <f t="shared" si="130"/>
        <v>0</v>
      </c>
      <c r="AE104" s="10"/>
      <c r="AF104" s="16">
        <f t="shared" si="131"/>
        <v>0</v>
      </c>
      <c r="AG104" s="16">
        <f t="shared" si="132"/>
        <v>0</v>
      </c>
      <c r="AH104" s="16">
        <f t="shared" si="133"/>
        <v>0</v>
      </c>
      <c r="AI104" s="18">
        <f t="shared" si="134"/>
        <v>0</v>
      </c>
      <c r="AJ104" s="14"/>
    </row>
    <row r="105" spans="1:36" x14ac:dyDescent="0.15">
      <c r="A105" s="5" t="s">
        <v>36</v>
      </c>
      <c r="B105" s="6" t="s">
        <v>37</v>
      </c>
      <c r="C105" s="7" t="s">
        <v>38</v>
      </c>
      <c r="D105" s="37" t="s">
        <v>144</v>
      </c>
      <c r="E105" s="6">
        <v>2025</v>
      </c>
      <c r="F105" s="16"/>
      <c r="G105" s="10"/>
      <c r="H105" s="16"/>
      <c r="I105" s="10"/>
      <c r="J105" s="16"/>
      <c r="K105" s="10"/>
      <c r="L105" s="16"/>
      <c r="M105" s="10"/>
      <c r="N105" s="16"/>
      <c r="O105" s="10"/>
      <c r="P105" s="16"/>
      <c r="Q105" s="10"/>
      <c r="R105" s="16"/>
      <c r="S105" s="10"/>
      <c r="T105" s="16"/>
      <c r="U105" s="10"/>
      <c r="V105" s="16"/>
      <c r="W105" s="10"/>
      <c r="X105" s="16"/>
      <c r="Y105" s="10"/>
      <c r="Z105" s="16"/>
      <c r="AA105" s="10"/>
      <c r="AB105" s="16"/>
      <c r="AC105" s="10"/>
      <c r="AD105" s="16">
        <f t="shared" si="130"/>
        <v>0</v>
      </c>
      <c r="AE105" s="10"/>
      <c r="AF105" s="16">
        <f t="shared" si="131"/>
        <v>0</v>
      </c>
      <c r="AG105" s="16">
        <f t="shared" si="132"/>
        <v>0</v>
      </c>
      <c r="AH105" s="16">
        <f t="shared" si="133"/>
        <v>0</v>
      </c>
      <c r="AI105" s="18">
        <f t="shared" si="134"/>
        <v>0</v>
      </c>
      <c r="AJ105" s="14"/>
    </row>
    <row r="106" spans="1:36" x14ac:dyDescent="0.15">
      <c r="A106" s="5" t="s">
        <v>36</v>
      </c>
      <c r="B106" s="6" t="s">
        <v>37</v>
      </c>
      <c r="C106" s="7" t="s">
        <v>38</v>
      </c>
      <c r="D106" s="37" t="s">
        <v>145</v>
      </c>
      <c r="E106" s="6">
        <v>2025</v>
      </c>
      <c r="F106" s="16"/>
      <c r="G106" s="10"/>
      <c r="H106" s="16"/>
      <c r="I106" s="10"/>
      <c r="J106" s="16"/>
      <c r="K106" s="10"/>
      <c r="L106" s="16"/>
      <c r="M106" s="10"/>
      <c r="N106" s="16"/>
      <c r="O106" s="10"/>
      <c r="P106" s="16"/>
      <c r="Q106" s="10"/>
      <c r="R106" s="16"/>
      <c r="S106" s="10"/>
      <c r="T106" s="16"/>
      <c r="U106" s="10"/>
      <c r="V106" s="16"/>
      <c r="W106" s="10"/>
      <c r="X106" s="16"/>
      <c r="Y106" s="10"/>
      <c r="Z106" s="16"/>
      <c r="AA106" s="10"/>
      <c r="AB106" s="16"/>
      <c r="AC106" s="10"/>
      <c r="AD106" s="16">
        <f t="shared" si="130"/>
        <v>0</v>
      </c>
      <c r="AE106" s="10"/>
      <c r="AF106" s="16">
        <f t="shared" si="131"/>
        <v>0</v>
      </c>
      <c r="AG106" s="16">
        <f t="shared" si="132"/>
        <v>0</v>
      </c>
      <c r="AH106" s="16">
        <f t="shared" si="133"/>
        <v>0</v>
      </c>
      <c r="AI106" s="18">
        <f t="shared" si="134"/>
        <v>0</v>
      </c>
      <c r="AJ106" s="14"/>
    </row>
    <row r="107" spans="1:36" x14ac:dyDescent="0.15">
      <c r="A107" s="5" t="s">
        <v>36</v>
      </c>
      <c r="B107" s="6" t="s">
        <v>37</v>
      </c>
      <c r="C107" s="7" t="s">
        <v>38</v>
      </c>
      <c r="D107" s="37" t="s">
        <v>146</v>
      </c>
      <c r="E107" s="6">
        <v>2025</v>
      </c>
      <c r="F107" s="16"/>
      <c r="G107" s="10"/>
      <c r="H107" s="16"/>
      <c r="I107" s="10"/>
      <c r="J107" s="16"/>
      <c r="K107" s="10"/>
      <c r="L107" s="16"/>
      <c r="M107" s="10"/>
      <c r="N107" s="16"/>
      <c r="O107" s="10"/>
      <c r="P107" s="16"/>
      <c r="Q107" s="10"/>
      <c r="R107" s="16"/>
      <c r="S107" s="10"/>
      <c r="T107" s="16"/>
      <c r="U107" s="10"/>
      <c r="V107" s="16"/>
      <c r="W107" s="10"/>
      <c r="X107" s="16"/>
      <c r="Y107" s="10"/>
      <c r="Z107" s="16"/>
      <c r="AA107" s="10"/>
      <c r="AB107" s="16"/>
      <c r="AC107" s="10"/>
      <c r="AD107" s="16">
        <f t="shared" si="130"/>
        <v>0</v>
      </c>
      <c r="AE107" s="10"/>
      <c r="AF107" s="16">
        <f t="shared" si="131"/>
        <v>0</v>
      </c>
      <c r="AG107" s="16">
        <f t="shared" si="132"/>
        <v>0</v>
      </c>
      <c r="AH107" s="16">
        <f t="shared" si="133"/>
        <v>0</v>
      </c>
      <c r="AI107" s="18">
        <f t="shared" si="134"/>
        <v>0</v>
      </c>
      <c r="AJ107" s="14"/>
    </row>
    <row r="108" spans="1:36" s="33" customFormat="1" ht="16.5" x14ac:dyDescent="0.15">
      <c r="A108" s="5" t="s">
        <v>36</v>
      </c>
      <c r="B108" s="6" t="s">
        <v>37</v>
      </c>
      <c r="C108" s="7" t="s">
        <v>38</v>
      </c>
      <c r="D108" s="8" t="s">
        <v>147</v>
      </c>
      <c r="E108" s="6">
        <v>2025</v>
      </c>
      <c r="F108" s="26">
        <f t="shared" ref="F108:J108" si="143">SUM(F109:F111)</f>
        <v>0</v>
      </c>
      <c r="G108" s="10" t="str">
        <f t="shared" ref="G108:K108" si="144">IFERROR(F108/F$9,"")</f>
        <v/>
      </c>
      <c r="H108" s="26">
        <f t="shared" si="143"/>
        <v>0</v>
      </c>
      <c r="I108" s="10" t="str">
        <f t="shared" si="144"/>
        <v/>
      </c>
      <c r="J108" s="26">
        <f t="shared" si="143"/>
        <v>0</v>
      </c>
      <c r="K108" s="10" t="str">
        <f t="shared" si="144"/>
        <v/>
      </c>
      <c r="L108" s="26">
        <f t="shared" ref="L108:P108" si="145">SUM(L109:L111)</f>
        <v>0</v>
      </c>
      <c r="M108" s="10" t="str">
        <f t="shared" ref="M108:Q108" si="146">IFERROR(L108/L$9,"")</f>
        <v/>
      </c>
      <c r="N108" s="26">
        <f t="shared" si="145"/>
        <v>0</v>
      </c>
      <c r="O108" s="10" t="str">
        <f t="shared" si="146"/>
        <v/>
      </c>
      <c r="P108" s="26">
        <f t="shared" si="145"/>
        <v>0</v>
      </c>
      <c r="Q108" s="10" t="str">
        <f t="shared" si="146"/>
        <v/>
      </c>
      <c r="R108" s="26">
        <f t="shared" ref="R108:V108" si="147">SUM(R109:R111)</f>
        <v>0</v>
      </c>
      <c r="S108" s="10" t="str">
        <f t="shared" ref="S108:W108" si="148">IFERROR(R108/R$9,"")</f>
        <v/>
      </c>
      <c r="T108" s="26">
        <f t="shared" si="147"/>
        <v>0</v>
      </c>
      <c r="U108" s="10" t="str">
        <f t="shared" si="148"/>
        <v/>
      </c>
      <c r="V108" s="26">
        <f t="shared" si="147"/>
        <v>0</v>
      </c>
      <c r="W108" s="10" t="str">
        <f t="shared" si="148"/>
        <v/>
      </c>
      <c r="X108" s="26">
        <f t="shared" ref="X108:AB108" si="149">SUM(X109:X111)</f>
        <v>0</v>
      </c>
      <c r="Y108" s="10" t="str">
        <f t="shared" ref="Y108:AC108" si="150">IFERROR(X108/X$9,"")</f>
        <v/>
      </c>
      <c r="Z108" s="26">
        <f t="shared" si="149"/>
        <v>0</v>
      </c>
      <c r="AA108" s="10" t="str">
        <f t="shared" si="150"/>
        <v/>
      </c>
      <c r="AB108" s="26">
        <f t="shared" si="149"/>
        <v>0</v>
      </c>
      <c r="AC108" s="10" t="str">
        <f t="shared" si="150"/>
        <v/>
      </c>
      <c r="AD108" s="26">
        <f>SUM(AD109:AD111)</f>
        <v>0</v>
      </c>
      <c r="AE108" s="10" t="str">
        <f>IFERROR(AD108/AD$9,"")</f>
        <v/>
      </c>
      <c r="AF108" s="26">
        <f>SUM(AF109:AF111)</f>
        <v>0</v>
      </c>
      <c r="AG108" s="26">
        <f>SUM(AG109:AG111)</f>
        <v>0</v>
      </c>
      <c r="AH108" s="26">
        <f>SUM(AH109:AH111)</f>
        <v>0</v>
      </c>
      <c r="AI108" s="27">
        <f>SUM(AI109:AI111)</f>
        <v>0</v>
      </c>
      <c r="AJ108" s="14" t="s">
        <v>50</v>
      </c>
    </row>
    <row r="109" spans="1:36" x14ac:dyDescent="0.15">
      <c r="A109" s="5" t="s">
        <v>36</v>
      </c>
      <c r="B109" s="6" t="s">
        <v>37</v>
      </c>
      <c r="C109" s="7" t="s">
        <v>38</v>
      </c>
      <c r="D109" s="37" t="s">
        <v>148</v>
      </c>
      <c r="E109" s="6">
        <v>2025</v>
      </c>
      <c r="F109" s="16"/>
      <c r="G109" s="10"/>
      <c r="H109" s="16"/>
      <c r="I109" s="10"/>
      <c r="J109" s="16"/>
      <c r="K109" s="10"/>
      <c r="L109" s="16"/>
      <c r="M109" s="10"/>
      <c r="N109" s="16"/>
      <c r="O109" s="10"/>
      <c r="P109" s="16"/>
      <c r="Q109" s="10"/>
      <c r="R109" s="16"/>
      <c r="S109" s="10"/>
      <c r="T109" s="16"/>
      <c r="U109" s="10"/>
      <c r="V109" s="16"/>
      <c r="W109" s="10"/>
      <c r="X109" s="16"/>
      <c r="Y109" s="10"/>
      <c r="Z109" s="16"/>
      <c r="AA109" s="10"/>
      <c r="AB109" s="16"/>
      <c r="AC109" s="10"/>
      <c r="AD109" s="16">
        <f t="shared" ref="AD109:AD111" si="151">SUM(F109,H109,J109,L109,N109,P109,R109,T109,V109,X109,Z109,AB109)</f>
        <v>0</v>
      </c>
      <c r="AE109" s="10"/>
      <c r="AF109" s="16">
        <f t="shared" ref="AF109:AF112" si="152">SUM(F109,H109,J109)</f>
        <v>0</v>
      </c>
      <c r="AG109" s="16">
        <f t="shared" ref="AG109:AG112" si="153">SUM(L109,N109,P109)</f>
        <v>0</v>
      </c>
      <c r="AH109" s="16">
        <f t="shared" ref="AH109:AH112" si="154">SUM(R109,T109,V109)</f>
        <v>0</v>
      </c>
      <c r="AI109" s="18">
        <f t="shared" ref="AI109:AI112" si="155">SUM(X109,Z109,AB109)</f>
        <v>0</v>
      </c>
      <c r="AJ109" s="14"/>
    </row>
    <row r="110" spans="1:36" x14ac:dyDescent="0.15">
      <c r="A110" s="5" t="s">
        <v>36</v>
      </c>
      <c r="B110" s="6" t="s">
        <v>37</v>
      </c>
      <c r="C110" s="7" t="s">
        <v>38</v>
      </c>
      <c r="D110" s="37" t="s">
        <v>149</v>
      </c>
      <c r="E110" s="6">
        <v>2025</v>
      </c>
      <c r="F110" s="16"/>
      <c r="G110" s="10"/>
      <c r="H110" s="16"/>
      <c r="I110" s="10"/>
      <c r="J110" s="16"/>
      <c r="K110" s="10"/>
      <c r="L110" s="16"/>
      <c r="M110" s="10"/>
      <c r="N110" s="16"/>
      <c r="O110" s="10"/>
      <c r="P110" s="16"/>
      <c r="Q110" s="10"/>
      <c r="R110" s="16"/>
      <c r="S110" s="10"/>
      <c r="T110" s="16"/>
      <c r="U110" s="10"/>
      <c r="V110" s="16"/>
      <c r="W110" s="10"/>
      <c r="X110" s="16"/>
      <c r="Y110" s="10"/>
      <c r="Z110" s="16"/>
      <c r="AA110" s="10"/>
      <c r="AB110" s="16"/>
      <c r="AC110" s="10"/>
      <c r="AD110" s="16">
        <f t="shared" si="151"/>
        <v>0</v>
      </c>
      <c r="AE110" s="10"/>
      <c r="AF110" s="16">
        <f t="shared" si="152"/>
        <v>0</v>
      </c>
      <c r="AG110" s="16">
        <f t="shared" si="153"/>
        <v>0</v>
      </c>
      <c r="AH110" s="16">
        <f t="shared" si="154"/>
        <v>0</v>
      </c>
      <c r="AI110" s="18">
        <f t="shared" si="155"/>
        <v>0</v>
      </c>
      <c r="AJ110" s="14"/>
    </row>
    <row r="111" spans="1:36" x14ac:dyDescent="0.15">
      <c r="A111" s="5" t="s">
        <v>36</v>
      </c>
      <c r="B111" s="6" t="s">
        <v>37</v>
      </c>
      <c r="C111" s="7" t="s">
        <v>38</v>
      </c>
      <c r="D111" s="37" t="s">
        <v>150</v>
      </c>
      <c r="E111" s="6">
        <v>2025</v>
      </c>
      <c r="F111" s="16"/>
      <c r="G111" s="10"/>
      <c r="H111" s="16"/>
      <c r="I111" s="10"/>
      <c r="J111" s="16"/>
      <c r="K111" s="10"/>
      <c r="L111" s="16"/>
      <c r="M111" s="10"/>
      <c r="N111" s="16"/>
      <c r="O111" s="10"/>
      <c r="P111" s="16"/>
      <c r="Q111" s="10"/>
      <c r="R111" s="16"/>
      <c r="S111" s="10"/>
      <c r="T111" s="16"/>
      <c r="U111" s="10"/>
      <c r="V111" s="16"/>
      <c r="W111" s="10"/>
      <c r="X111" s="16"/>
      <c r="Y111" s="10"/>
      <c r="Z111" s="16"/>
      <c r="AA111" s="10"/>
      <c r="AB111" s="16"/>
      <c r="AC111" s="10"/>
      <c r="AD111" s="16">
        <f t="shared" si="151"/>
        <v>0</v>
      </c>
      <c r="AE111" s="10"/>
      <c r="AF111" s="16">
        <f t="shared" si="152"/>
        <v>0</v>
      </c>
      <c r="AG111" s="16">
        <f t="shared" si="153"/>
        <v>0</v>
      </c>
      <c r="AH111" s="16">
        <f t="shared" si="154"/>
        <v>0</v>
      </c>
      <c r="AI111" s="18">
        <f t="shared" si="155"/>
        <v>0</v>
      </c>
      <c r="AJ111" s="14"/>
    </row>
    <row r="112" spans="1:36" s="33" customFormat="1" ht="16.5" x14ac:dyDescent="0.15">
      <c r="A112" s="5" t="s">
        <v>36</v>
      </c>
      <c r="B112" s="6" t="s">
        <v>37</v>
      </c>
      <c r="C112" s="7" t="s">
        <v>38</v>
      </c>
      <c r="D112" s="8" t="s">
        <v>151</v>
      </c>
      <c r="E112" s="6">
        <v>2025</v>
      </c>
      <c r="F112" s="26">
        <f>SUM(F9-(F24)-(F108))</f>
        <v>0</v>
      </c>
      <c r="G112" s="10"/>
      <c r="H112" s="26">
        <f>SUM(H9-(H24)-(H108))</f>
        <v>0</v>
      </c>
      <c r="I112" s="10"/>
      <c r="J112" s="26">
        <f>SUM(J9-(J24)-(J108))</f>
        <v>0</v>
      </c>
      <c r="K112" s="10"/>
      <c r="L112" s="26">
        <f>SUM(L9-(L24)-(L108))</f>
        <v>0</v>
      </c>
      <c r="M112" s="10"/>
      <c r="N112" s="26">
        <f>SUM(N9-(N24)-(N108))</f>
        <v>0</v>
      </c>
      <c r="O112" s="10"/>
      <c r="P112" s="26">
        <f>SUM(P9-(P24)-(P108))</f>
        <v>0</v>
      </c>
      <c r="Q112" s="10"/>
      <c r="R112" s="26">
        <f>SUM(R9-(R24)-(R108))</f>
        <v>0</v>
      </c>
      <c r="S112" s="10"/>
      <c r="T112" s="26">
        <f>SUM(T9-(T24)-(T108))</f>
        <v>0</v>
      </c>
      <c r="U112" s="10"/>
      <c r="V112" s="26">
        <f>SUM(V9-(V24)-(V108))</f>
        <v>0</v>
      </c>
      <c r="W112" s="10"/>
      <c r="X112" s="26">
        <f>SUM(X9-(X24)-(X108))</f>
        <v>0</v>
      </c>
      <c r="Y112" s="10"/>
      <c r="Z112" s="26">
        <f>SUM(Z9-(Z24)-(Z108))</f>
        <v>0</v>
      </c>
      <c r="AA112" s="10"/>
      <c r="AB112" s="26">
        <f>SUM(AB9-(AB24)-(AB108))</f>
        <v>0</v>
      </c>
      <c r="AC112" s="10"/>
      <c r="AD112" s="26">
        <f>SUM(AD9-(AD24)-(AD108))</f>
        <v>0</v>
      </c>
      <c r="AE112" s="10"/>
      <c r="AF112" s="26">
        <f t="shared" si="152"/>
        <v>0</v>
      </c>
      <c r="AG112" s="26">
        <f t="shared" si="153"/>
        <v>0</v>
      </c>
      <c r="AH112" s="26">
        <f t="shared" si="154"/>
        <v>0</v>
      </c>
      <c r="AI112" s="27">
        <f t="shared" si="155"/>
        <v>0</v>
      </c>
      <c r="AJ112" s="14" t="s">
        <v>46</v>
      </c>
    </row>
    <row r="113" spans="1:36" ht="16.5" x14ac:dyDescent="0.15">
      <c r="A113" s="5" t="s">
        <v>36</v>
      </c>
      <c r="B113" s="6" t="s">
        <v>37</v>
      </c>
      <c r="C113" s="7" t="s">
        <v>38</v>
      </c>
      <c r="D113" s="8" t="s">
        <v>152</v>
      </c>
      <c r="E113" s="6">
        <v>2025</v>
      </c>
      <c r="F113" s="41" t="str">
        <f t="shared" ref="F113:J113" si="156">IFERROR(F112/F9,"")</f>
        <v/>
      </c>
      <c r="G113" s="42"/>
      <c r="H113" s="41" t="str">
        <f t="shared" si="156"/>
        <v/>
      </c>
      <c r="I113" s="42"/>
      <c r="J113" s="41" t="str">
        <f t="shared" si="156"/>
        <v/>
      </c>
      <c r="K113" s="42"/>
      <c r="L113" s="41" t="str">
        <f t="shared" ref="L113:P113" si="157">IFERROR(L112/L9,"")</f>
        <v/>
      </c>
      <c r="M113" s="42"/>
      <c r="N113" s="41" t="str">
        <f t="shared" si="157"/>
        <v/>
      </c>
      <c r="O113" s="42"/>
      <c r="P113" s="41" t="str">
        <f t="shared" si="157"/>
        <v/>
      </c>
      <c r="Q113" s="42"/>
      <c r="R113" s="41" t="str">
        <f t="shared" ref="R113:V113" si="158">IFERROR(R112/R9,"")</f>
        <v/>
      </c>
      <c r="S113" s="42"/>
      <c r="T113" s="41" t="str">
        <f t="shared" si="158"/>
        <v/>
      </c>
      <c r="U113" s="42"/>
      <c r="V113" s="41" t="str">
        <f t="shared" si="158"/>
        <v/>
      </c>
      <c r="W113" s="42"/>
      <c r="X113" s="41" t="str">
        <f t="shared" ref="X113:AB113" si="159">IFERROR(X112/X9,"")</f>
        <v/>
      </c>
      <c r="Y113" s="42"/>
      <c r="Z113" s="41" t="str">
        <f t="shared" si="159"/>
        <v/>
      </c>
      <c r="AA113" s="42"/>
      <c r="AB113" s="41" t="str">
        <f t="shared" si="159"/>
        <v/>
      </c>
      <c r="AC113" s="42"/>
      <c r="AD113" s="41" t="str">
        <f>IFERROR(AD112/AD9,"")</f>
        <v/>
      </c>
      <c r="AE113" s="42"/>
      <c r="AF113" s="41" t="str">
        <f>IFERROR(AF112/AF9,"")</f>
        <v/>
      </c>
      <c r="AG113" s="41" t="str">
        <f>IFERROR(AG112/AG9,"")</f>
        <v/>
      </c>
      <c r="AH113" s="41" t="str">
        <f>IFERROR(AH112/AH9,"")</f>
        <v/>
      </c>
      <c r="AI113" s="43" t="str">
        <f>IFERROR(AI112/AI9,"")</f>
        <v/>
      </c>
      <c r="AJ113" s="14" t="s">
        <v>46</v>
      </c>
    </row>
    <row r="114" spans="1:36" x14ac:dyDescent="0.15">
      <c r="A114" s="5" t="s">
        <v>36</v>
      </c>
      <c r="B114" s="6" t="s">
        <v>37</v>
      </c>
      <c r="C114" s="7" t="s">
        <v>38</v>
      </c>
      <c r="D114" s="37" t="s">
        <v>153</v>
      </c>
      <c r="E114" s="6">
        <v>2025</v>
      </c>
      <c r="F114" s="16"/>
      <c r="G114" s="10"/>
      <c r="H114" s="16"/>
      <c r="I114" s="10"/>
      <c r="J114" s="16"/>
      <c r="K114" s="10"/>
      <c r="L114" s="16"/>
      <c r="M114" s="10"/>
      <c r="N114" s="16"/>
      <c r="O114" s="10"/>
      <c r="P114" s="16"/>
      <c r="Q114" s="10"/>
      <c r="R114" s="16"/>
      <c r="S114" s="10"/>
      <c r="T114" s="16"/>
      <c r="U114" s="10"/>
      <c r="V114" s="16"/>
      <c r="W114" s="10"/>
      <c r="X114" s="16"/>
      <c r="Y114" s="10"/>
      <c r="Z114" s="16"/>
      <c r="AA114" s="10"/>
      <c r="AB114" s="16"/>
      <c r="AC114" s="10"/>
      <c r="AD114" s="16">
        <f t="shared" ref="AD114:AD121" si="160">SUM(F114,H114,J114,L114,N114,P114,R114,T114,V114,X114,Z114,AB114)</f>
        <v>0</v>
      </c>
      <c r="AE114" s="10"/>
      <c r="AF114" s="16">
        <f>SUM(F114,H114,J114)</f>
        <v>0</v>
      </c>
      <c r="AG114" s="16">
        <f>SUM(L114,N114,P114)</f>
        <v>0</v>
      </c>
      <c r="AH114" s="16">
        <f>SUM(R114,T114,V114)</f>
        <v>0</v>
      </c>
      <c r="AI114" s="18">
        <f>SUM(X114,Z114,AB114)</f>
        <v>0</v>
      </c>
      <c r="AJ114" s="14"/>
    </row>
    <row r="115" spans="1:36" x14ac:dyDescent="0.15">
      <c r="A115" s="5" t="s">
        <v>36</v>
      </c>
      <c r="B115" s="6" t="s">
        <v>37</v>
      </c>
      <c r="C115" s="7" t="s">
        <v>38</v>
      </c>
      <c r="D115" s="37" t="s">
        <v>154</v>
      </c>
      <c r="E115" s="6">
        <v>2025</v>
      </c>
      <c r="F115" s="16"/>
      <c r="G115" s="10"/>
      <c r="H115" s="16"/>
      <c r="I115" s="10"/>
      <c r="J115" s="16"/>
      <c r="K115" s="10"/>
      <c r="L115" s="16"/>
      <c r="M115" s="10"/>
      <c r="N115" s="16"/>
      <c r="O115" s="10"/>
      <c r="P115" s="16"/>
      <c r="Q115" s="10"/>
      <c r="R115" s="16"/>
      <c r="S115" s="10"/>
      <c r="T115" s="16"/>
      <c r="U115" s="10"/>
      <c r="V115" s="16"/>
      <c r="W115" s="10"/>
      <c r="X115" s="16"/>
      <c r="Y115" s="10"/>
      <c r="Z115" s="16"/>
      <c r="AA115" s="10"/>
      <c r="AB115" s="16"/>
      <c r="AC115" s="10"/>
      <c r="AD115" s="16">
        <f t="shared" si="160"/>
        <v>0</v>
      </c>
      <c r="AE115" s="10"/>
      <c r="AF115" s="16">
        <f t="shared" ref="AF115:AF121" si="161">SUM(F115,H115,J115)</f>
        <v>0</v>
      </c>
      <c r="AG115" s="16">
        <f t="shared" ref="AG115:AG121" si="162">SUM(L115,N115,P115)</f>
        <v>0</v>
      </c>
      <c r="AH115" s="16">
        <f t="shared" ref="AH115:AH121" si="163">SUM(R115,T115,V115)</f>
        <v>0</v>
      </c>
      <c r="AI115" s="18">
        <f t="shared" ref="AI115:AI121" si="164">SUM(X115,Z115,AB115)</f>
        <v>0</v>
      </c>
      <c r="AJ115" s="14"/>
    </row>
    <row r="116" spans="1:36" x14ac:dyDescent="0.15">
      <c r="A116" s="5" t="s">
        <v>36</v>
      </c>
      <c r="B116" s="6" t="s">
        <v>37</v>
      </c>
      <c r="C116" s="7" t="s">
        <v>38</v>
      </c>
      <c r="D116" s="37" t="s">
        <v>155</v>
      </c>
      <c r="E116" s="6">
        <v>2025</v>
      </c>
      <c r="F116" s="16"/>
      <c r="G116" s="10"/>
      <c r="H116" s="16"/>
      <c r="I116" s="10"/>
      <c r="J116" s="16"/>
      <c r="K116" s="10"/>
      <c r="L116" s="16"/>
      <c r="M116" s="10"/>
      <c r="N116" s="16"/>
      <c r="O116" s="10"/>
      <c r="P116" s="16"/>
      <c r="Q116" s="10"/>
      <c r="R116" s="16"/>
      <c r="S116" s="10"/>
      <c r="T116" s="16"/>
      <c r="U116" s="10"/>
      <c r="V116" s="16"/>
      <c r="W116" s="10"/>
      <c r="X116" s="16"/>
      <c r="Y116" s="10"/>
      <c r="Z116" s="16"/>
      <c r="AA116" s="10"/>
      <c r="AB116" s="16"/>
      <c r="AC116" s="10"/>
      <c r="AD116" s="16">
        <f t="shared" si="160"/>
        <v>0</v>
      </c>
      <c r="AE116" s="10"/>
      <c r="AF116" s="16">
        <f t="shared" si="161"/>
        <v>0</v>
      </c>
      <c r="AG116" s="16">
        <f t="shared" si="162"/>
        <v>0</v>
      </c>
      <c r="AH116" s="16">
        <f t="shared" si="163"/>
        <v>0</v>
      </c>
      <c r="AI116" s="18">
        <f t="shared" si="164"/>
        <v>0</v>
      </c>
      <c r="AJ116" s="14"/>
    </row>
    <row r="117" spans="1:36" x14ac:dyDescent="0.15">
      <c r="A117" s="5" t="s">
        <v>36</v>
      </c>
      <c r="B117" s="6" t="s">
        <v>37</v>
      </c>
      <c r="C117" s="7" t="s">
        <v>38</v>
      </c>
      <c r="D117" s="37" t="s">
        <v>156</v>
      </c>
      <c r="E117" s="6">
        <v>2025</v>
      </c>
      <c r="F117" s="16"/>
      <c r="G117" s="10"/>
      <c r="H117" s="16"/>
      <c r="I117" s="10"/>
      <c r="J117" s="16"/>
      <c r="K117" s="10"/>
      <c r="L117" s="16"/>
      <c r="M117" s="10"/>
      <c r="N117" s="16"/>
      <c r="O117" s="10"/>
      <c r="P117" s="16"/>
      <c r="Q117" s="10"/>
      <c r="R117" s="16"/>
      <c r="S117" s="10"/>
      <c r="T117" s="16"/>
      <c r="U117" s="10"/>
      <c r="V117" s="16"/>
      <c r="W117" s="10"/>
      <c r="X117" s="16"/>
      <c r="Y117" s="10"/>
      <c r="Z117" s="16"/>
      <c r="AA117" s="10"/>
      <c r="AB117" s="16"/>
      <c r="AC117" s="10"/>
      <c r="AD117" s="16">
        <f t="shared" si="160"/>
        <v>0</v>
      </c>
      <c r="AE117" s="10"/>
      <c r="AF117" s="16">
        <f t="shared" si="161"/>
        <v>0</v>
      </c>
      <c r="AG117" s="16">
        <f t="shared" si="162"/>
        <v>0</v>
      </c>
      <c r="AH117" s="16">
        <f t="shared" si="163"/>
        <v>0</v>
      </c>
      <c r="AI117" s="18">
        <f t="shared" si="164"/>
        <v>0</v>
      </c>
      <c r="AJ117" s="14"/>
    </row>
    <row r="118" spans="1:36" x14ac:dyDescent="0.15">
      <c r="A118" s="5" t="s">
        <v>36</v>
      </c>
      <c r="B118" s="6" t="s">
        <v>37</v>
      </c>
      <c r="C118" s="7" t="s">
        <v>38</v>
      </c>
      <c r="D118" s="37" t="s">
        <v>157</v>
      </c>
      <c r="E118" s="6">
        <v>2025</v>
      </c>
      <c r="F118" s="16"/>
      <c r="G118" s="10"/>
      <c r="H118" s="16"/>
      <c r="I118" s="10"/>
      <c r="J118" s="16"/>
      <c r="K118" s="10"/>
      <c r="L118" s="16"/>
      <c r="M118" s="10"/>
      <c r="N118" s="16"/>
      <c r="O118" s="10"/>
      <c r="P118" s="16"/>
      <c r="Q118" s="10"/>
      <c r="R118" s="16"/>
      <c r="S118" s="10"/>
      <c r="T118" s="16"/>
      <c r="U118" s="10"/>
      <c r="V118" s="16"/>
      <c r="W118" s="10"/>
      <c r="X118" s="16"/>
      <c r="Y118" s="10"/>
      <c r="Z118" s="16"/>
      <c r="AA118" s="10"/>
      <c r="AB118" s="16"/>
      <c r="AC118" s="10"/>
      <c r="AD118" s="16">
        <f t="shared" si="160"/>
        <v>0</v>
      </c>
      <c r="AE118" s="10"/>
      <c r="AF118" s="16">
        <f t="shared" si="161"/>
        <v>0</v>
      </c>
      <c r="AG118" s="16">
        <f t="shared" si="162"/>
        <v>0</v>
      </c>
      <c r="AH118" s="16">
        <f t="shared" si="163"/>
        <v>0</v>
      </c>
      <c r="AI118" s="18">
        <f t="shared" si="164"/>
        <v>0</v>
      </c>
      <c r="AJ118" s="14"/>
    </row>
    <row r="119" spans="1:36" x14ac:dyDescent="0.15">
      <c r="A119" s="5" t="s">
        <v>36</v>
      </c>
      <c r="B119" s="6" t="s">
        <v>37</v>
      </c>
      <c r="C119" s="7" t="s">
        <v>38</v>
      </c>
      <c r="D119" s="37" t="s">
        <v>158</v>
      </c>
      <c r="E119" s="6">
        <v>2025</v>
      </c>
      <c r="F119" s="16"/>
      <c r="G119" s="10"/>
      <c r="H119" s="16"/>
      <c r="I119" s="10"/>
      <c r="J119" s="16"/>
      <c r="K119" s="10"/>
      <c r="L119" s="16"/>
      <c r="M119" s="10"/>
      <c r="N119" s="16"/>
      <c r="O119" s="10"/>
      <c r="P119" s="16"/>
      <c r="Q119" s="10"/>
      <c r="R119" s="16"/>
      <c r="S119" s="10"/>
      <c r="T119" s="16"/>
      <c r="U119" s="10"/>
      <c r="V119" s="16"/>
      <c r="W119" s="10"/>
      <c r="X119" s="16"/>
      <c r="Y119" s="10"/>
      <c r="Z119" s="16"/>
      <c r="AA119" s="10"/>
      <c r="AB119" s="16"/>
      <c r="AC119" s="10"/>
      <c r="AD119" s="16">
        <f t="shared" si="160"/>
        <v>0</v>
      </c>
      <c r="AE119" s="10"/>
      <c r="AF119" s="16">
        <f t="shared" si="161"/>
        <v>0</v>
      </c>
      <c r="AG119" s="16">
        <f t="shared" si="162"/>
        <v>0</v>
      </c>
      <c r="AH119" s="16">
        <f t="shared" si="163"/>
        <v>0</v>
      </c>
      <c r="AI119" s="18">
        <f t="shared" si="164"/>
        <v>0</v>
      </c>
      <c r="AJ119" s="14"/>
    </row>
    <row r="120" spans="1:36" x14ac:dyDescent="0.15">
      <c r="A120" s="5" t="s">
        <v>36</v>
      </c>
      <c r="B120" s="6" t="s">
        <v>37</v>
      </c>
      <c r="C120" s="7" t="s">
        <v>38</v>
      </c>
      <c r="D120" s="37" t="s">
        <v>159</v>
      </c>
      <c r="E120" s="6">
        <v>2025</v>
      </c>
      <c r="F120" s="16"/>
      <c r="G120" s="10"/>
      <c r="H120" s="16"/>
      <c r="I120" s="10"/>
      <c r="J120" s="16"/>
      <c r="K120" s="10"/>
      <c r="L120" s="16"/>
      <c r="M120" s="10"/>
      <c r="N120" s="16"/>
      <c r="O120" s="10"/>
      <c r="P120" s="16"/>
      <c r="Q120" s="10"/>
      <c r="R120" s="16"/>
      <c r="S120" s="10"/>
      <c r="T120" s="16"/>
      <c r="U120" s="10"/>
      <c r="V120" s="16"/>
      <c r="W120" s="10"/>
      <c r="X120" s="16"/>
      <c r="Y120" s="10"/>
      <c r="Z120" s="16"/>
      <c r="AA120" s="10"/>
      <c r="AB120" s="16"/>
      <c r="AC120" s="10"/>
      <c r="AD120" s="16">
        <f t="shared" si="160"/>
        <v>0</v>
      </c>
      <c r="AE120" s="10"/>
      <c r="AF120" s="16">
        <f t="shared" si="161"/>
        <v>0</v>
      </c>
      <c r="AG120" s="16">
        <f t="shared" si="162"/>
        <v>0</v>
      </c>
      <c r="AH120" s="16">
        <f t="shared" si="163"/>
        <v>0</v>
      </c>
      <c r="AI120" s="18">
        <f t="shared" si="164"/>
        <v>0</v>
      </c>
      <c r="AJ120" s="14"/>
    </row>
    <row r="121" spans="1:36" x14ac:dyDescent="0.15">
      <c r="A121" s="5" t="s">
        <v>36</v>
      </c>
      <c r="B121" s="6" t="s">
        <v>37</v>
      </c>
      <c r="C121" s="7" t="s">
        <v>38</v>
      </c>
      <c r="D121" s="37" t="s">
        <v>160</v>
      </c>
      <c r="E121" s="6">
        <v>2025</v>
      </c>
      <c r="F121" s="16"/>
      <c r="G121" s="10"/>
      <c r="H121" s="16"/>
      <c r="I121" s="10"/>
      <c r="J121" s="16"/>
      <c r="K121" s="10"/>
      <c r="L121" s="16"/>
      <c r="M121" s="10"/>
      <c r="N121" s="16"/>
      <c r="O121" s="10"/>
      <c r="P121" s="16"/>
      <c r="Q121" s="10"/>
      <c r="R121" s="16"/>
      <c r="S121" s="10"/>
      <c r="T121" s="16"/>
      <c r="U121" s="10"/>
      <c r="V121" s="16"/>
      <c r="W121" s="10"/>
      <c r="X121" s="16"/>
      <c r="Y121" s="10"/>
      <c r="Z121" s="16"/>
      <c r="AA121" s="10"/>
      <c r="AB121" s="16"/>
      <c r="AC121" s="10"/>
      <c r="AD121" s="16">
        <f t="shared" si="160"/>
        <v>0</v>
      </c>
      <c r="AE121" s="10"/>
      <c r="AF121" s="16">
        <f t="shared" si="161"/>
        <v>0</v>
      </c>
      <c r="AG121" s="16">
        <f t="shared" si="162"/>
        <v>0</v>
      </c>
      <c r="AH121" s="16">
        <f t="shared" si="163"/>
        <v>0</v>
      </c>
      <c r="AI121" s="18">
        <f t="shared" si="164"/>
        <v>0</v>
      </c>
      <c r="AJ121" s="14"/>
    </row>
    <row r="122" spans="1:36" s="33" customFormat="1" ht="16.5" x14ac:dyDescent="0.15">
      <c r="A122" s="44" t="s">
        <v>36</v>
      </c>
      <c r="B122" s="45" t="s">
        <v>37</v>
      </c>
      <c r="C122" s="7" t="s">
        <v>38</v>
      </c>
      <c r="D122" s="8" t="s">
        <v>161</v>
      </c>
      <c r="E122" s="45">
        <v>2025</v>
      </c>
      <c r="F122" s="46">
        <f>SUM(F112+F114+F115+F116-(F117)-(F118)-(F119)-(F120)+F121)</f>
        <v>0</v>
      </c>
      <c r="G122" s="47"/>
      <c r="H122" s="46">
        <f>SUM(H112+H114+H115+H116-(H117)-(H118)-(H119)-(H120)+H121)</f>
        <v>0</v>
      </c>
      <c r="I122" s="47"/>
      <c r="J122" s="46">
        <f>SUM(J112+J114+J115+J116-(J117)-(J118)-(J119)-(J120)+J121)</f>
        <v>0</v>
      </c>
      <c r="K122" s="47"/>
      <c r="L122" s="46">
        <f>SUM(L112+L114+L115+L116-(L117)-(L118)-(L119)-(L120)+L121)</f>
        <v>0</v>
      </c>
      <c r="M122" s="47"/>
      <c r="N122" s="46">
        <f>SUM(N112+N114+N115+N116-(N117)-(N118)-(N119)-(N120)+N121)</f>
        <v>0</v>
      </c>
      <c r="O122" s="47"/>
      <c r="P122" s="46">
        <f>SUM(P112+P114+P115+P116-(P117)-(P118)-(P119)-(P120)+P121)</f>
        <v>0</v>
      </c>
      <c r="Q122" s="47"/>
      <c r="R122" s="46">
        <f>SUM(R112+R114+R115+R116-(R117)-(R118)-(R119)-(R120)+R121)</f>
        <v>0</v>
      </c>
      <c r="S122" s="47"/>
      <c r="T122" s="46">
        <f>SUM(T112+T114+T115+T116-(T117)-(T118)-(T119)-(T120)+T121)</f>
        <v>0</v>
      </c>
      <c r="U122" s="47"/>
      <c r="V122" s="46">
        <f>SUM(V112+V114+V115+V116-(V117)-(V118)-(V119)-(V120)+V121)</f>
        <v>0</v>
      </c>
      <c r="W122" s="47"/>
      <c r="X122" s="46">
        <f>SUM(X112+X114+X115+X116-(X117)-(X118)-(X119)-(X120)+X121)</f>
        <v>0</v>
      </c>
      <c r="Y122" s="47"/>
      <c r="Z122" s="46">
        <f>SUM(Z112+Z114+Z115+Z116-(Z117)-(Z118)-(Z119)-(Z120)+Z121)</f>
        <v>0</v>
      </c>
      <c r="AA122" s="47"/>
      <c r="AB122" s="46">
        <f>SUM(AB112+AB114+AB115+AB116-(AB117)-(AB118)-(AB119)-(AB120)+AB121)</f>
        <v>0</v>
      </c>
      <c r="AC122" s="47"/>
      <c r="AD122" s="46">
        <f>SUM(AD112+AD114+AD115+AD116-(AD117)-(AD118)-(AD119)-(AD120)+AD121)</f>
        <v>0</v>
      </c>
      <c r="AE122" s="47"/>
      <c r="AF122" s="46">
        <f>SUM(AF112+AF114+AF115+AF116-(AF117)-(AF118)-(AF119)-(AF120)+AF121)</f>
        <v>0</v>
      </c>
      <c r="AG122" s="46">
        <f>SUM(AG112+AG114+AG115+AG116-(AG117)-(AG118)-(AG119)-(AG120)+AG121)</f>
        <v>0</v>
      </c>
      <c r="AH122" s="46">
        <f>SUM(AH112+AH114+AH115+AH116-(AH117)-(AH118)-(AH119)-(AH120)+AH121)</f>
        <v>0</v>
      </c>
      <c r="AI122" s="48">
        <f>SUM(AI112+AI114+AI115+AI116-(AI117)-(AI118)-(AI119)-(AI120)+AI121)</f>
        <v>0</v>
      </c>
      <c r="AJ122" s="49" t="s">
        <v>50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 预算导入模板&amp;填写要求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周建</dc:creator>
  <cp:lastModifiedBy>周建</cp:lastModifiedBy>
  <dcterms:created xsi:type="dcterms:W3CDTF">2025-07-02T02:02:23Z</dcterms:created>
  <dcterms:modified xsi:type="dcterms:W3CDTF">2025-07-02T02:04:36Z</dcterms:modified>
</cp:coreProperties>
</file>